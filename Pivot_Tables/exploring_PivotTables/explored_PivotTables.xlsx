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cleaned_Version" sheetId="1" r:id="rId5"/>
  </sheets>
  <definedNames>
    <definedName hidden="1" localSheetId="0" name="Z_E0E9916E_9D27_4773_A6C7_5CA4E2D7052C_.wvu.FilterData">Final_cleaned_Version!$A$1:$AL$149</definedName>
    <definedName hidden="1" localSheetId="0" name="Z_E0E9916E_9D27_4773_A6C7_5CA4E2D7052C_.wvu.FilterData">Final_cleaned_Version!$A$1:$AL$149</definedName>
    <definedName hidden="1" localSheetId="0" name="Z_E0E9916E_9D27_4773_A6C7_5CA4E2D7052C_.wvu.FilterData">Final_cleaned_Version!$A$1:$AL$149</definedName>
    <definedName hidden="1" localSheetId="0" name="Z_E0E9916E_9D27_4773_A6C7_5CA4E2D7052C_.wvu.FilterData">Final_cleaned_Version!$A$1:$AL$149</definedName>
  </definedNames>
  <calcPr/>
  <customWorkbookViews>
    <customWorkbookView activeSheetId="0" maximized="1" windowHeight="0" windowWidth="0" guid="{E0E9916E-9D27-4773-A6C7-5CA4E2D7052C}" name="Filter 1"/>
  </customWorkbookViews>
</workbook>
</file>

<file path=xl/sharedStrings.xml><?xml version="1.0" encoding="utf-8"?>
<sst xmlns="http://schemas.openxmlformats.org/spreadsheetml/2006/main" count="838" uniqueCount="176">
  <si>
    <t>SUM of Sales</t>
  </si>
  <si>
    <t>Category</t>
  </si>
  <si>
    <t>Column 1</t>
  </si>
  <si>
    <t>Column 2</t>
  </si>
  <si>
    <t>Column 3</t>
  </si>
  <si>
    <t>SUM of Profit</t>
  </si>
  <si>
    <t>AVERAGE of Profit Margin</t>
  </si>
  <si>
    <t>AVERAGE of Discount</t>
  </si>
  <si>
    <t>COUNTA of Loss Flag</t>
  </si>
  <si>
    <t>Sub-Category</t>
  </si>
  <si>
    <t>Year</t>
  </si>
  <si>
    <t>Quarter</t>
  </si>
  <si>
    <t>SUM of Profit 2</t>
  </si>
  <si>
    <t>AVERAGE of Profit Margin 2</t>
  </si>
  <si>
    <t>Shipping Speed</t>
  </si>
  <si>
    <t>Values</t>
  </si>
  <si>
    <t>Column 4</t>
  </si>
  <si>
    <t>Column 5</t>
  </si>
  <si>
    <t>Column 6</t>
  </si>
  <si>
    <t>Column 7</t>
  </si>
  <si>
    <t>Region</t>
  </si>
  <si>
    <t>FURNITURE</t>
  </si>
  <si>
    <t>OFFICE SUPPLIES</t>
  </si>
  <si>
    <t>TECHNOLOGY</t>
  </si>
  <si>
    <t>Grand Total</t>
  </si>
  <si>
    <t>Bookcases</t>
  </si>
  <si>
    <t>Q1</t>
  </si>
  <si>
    <t>Fast</t>
  </si>
  <si>
    <t>Normal</t>
  </si>
  <si>
    <t>Slow</t>
  </si>
  <si>
    <t>Central</t>
  </si>
  <si>
    <t>Chairs</t>
  </si>
  <si>
    <t>Q2</t>
  </si>
  <si>
    <t>Ship Mode</t>
  </si>
  <si>
    <t>AVERAGE of Shipping Delay</t>
  </si>
  <si>
    <t>COUNTA of Order ID</t>
  </si>
  <si>
    <t>East</t>
  </si>
  <si>
    <t>Furnishings</t>
  </si>
  <si>
    <t>Q3</t>
  </si>
  <si>
    <t>First Class</t>
  </si>
  <si>
    <t>South</t>
  </si>
  <si>
    <t>Tables</t>
  </si>
  <si>
    <t>Q4</t>
  </si>
  <si>
    <t>Same Day</t>
  </si>
  <si>
    <t>West</t>
  </si>
  <si>
    <t>FURNITURE Total</t>
  </si>
  <si>
    <t>2014 Total</t>
  </si>
  <si>
    <t>Second Class</t>
  </si>
  <si>
    <t>Appliances</t>
  </si>
  <si>
    <t>Standard Class</t>
  </si>
  <si>
    <t>Art</t>
  </si>
  <si>
    <t>Segment</t>
  </si>
  <si>
    <t>Binders</t>
  </si>
  <si>
    <t>SUM of Quantity</t>
  </si>
  <si>
    <t>Consumer</t>
  </si>
  <si>
    <t>Envelopes</t>
  </si>
  <si>
    <t>Corporate</t>
  </si>
  <si>
    <t>Fasteners</t>
  </si>
  <si>
    <t>2015 Total</t>
  </si>
  <si>
    <t>Loss Flag</t>
  </si>
  <si>
    <t>Column 8</t>
  </si>
  <si>
    <t>Home Office</t>
  </si>
  <si>
    <t>Labels</t>
  </si>
  <si>
    <t>Loss</t>
  </si>
  <si>
    <t>Profit</t>
  </si>
  <si>
    <t>501239.89</t>
  </si>
  <si>
    <t>Paper</t>
  </si>
  <si>
    <t>COUNTA of Transaction Id (PK)</t>
  </si>
  <si>
    <t>Storage</t>
  </si>
  <si>
    <t>Accessories</t>
  </si>
  <si>
    <t>Supplies</t>
  </si>
  <si>
    <t>OFFICE SUPPLIES Total</t>
  </si>
  <si>
    <t>2016 Total</t>
  </si>
  <si>
    <t>Copiers</t>
  </si>
  <si>
    <t>Machines</t>
  </si>
  <si>
    <t>Phones</t>
  </si>
  <si>
    <t>TECHNOLOGY Total</t>
  </si>
  <si>
    <t>2017 Total</t>
  </si>
  <si>
    <t>359681.58</t>
  </si>
  <si>
    <t>445228.25</t>
  </si>
  <si>
    <t>613932.11</t>
  </si>
  <si>
    <t>878077.56</t>
  </si>
  <si>
    <t>Loss Severity</t>
  </si>
  <si>
    <t>High Loss</t>
  </si>
  <si>
    <t>Low Loss</t>
  </si>
  <si>
    <t>48%</t>
  </si>
  <si>
    <t>1870</t>
  </si>
  <si>
    <t>8%</t>
  </si>
  <si>
    <t>16%</t>
  </si>
  <si>
    <t>9993</t>
  </si>
  <si>
    <t>Column 9</t>
  </si>
  <si>
    <t>Column 10</t>
  </si>
  <si>
    <t>Column 11</t>
  </si>
  <si>
    <t>Column 12</t>
  </si>
  <si>
    <t>Column 13</t>
  </si>
  <si>
    <t>Column 14</t>
  </si>
  <si>
    <t>Order-Size</t>
  </si>
  <si>
    <t>AVERAGE of Sales Per Unit</t>
  </si>
  <si>
    <t>SUM of Discount Amount (Sales × Discount)</t>
  </si>
  <si>
    <t>Large</t>
  </si>
  <si>
    <t>Medium</t>
  </si>
  <si>
    <t>Small</t>
  </si>
  <si>
    <t>2</t>
  </si>
  <si>
    <t>1538</t>
  </si>
  <si>
    <t>351428.42</t>
  </si>
  <si>
    <t>0</t>
  </si>
  <si>
    <t>543</t>
  </si>
  <si>
    <t>128363.13</t>
  </si>
  <si>
    <t>3</t>
  </si>
  <si>
    <t>1945</t>
  </si>
  <si>
    <t>459193.57</t>
  </si>
  <si>
    <t>5</t>
  </si>
  <si>
    <t>5967</t>
  </si>
  <si>
    <t>1357934.37</t>
  </si>
  <si>
    <t>4</t>
  </si>
  <si>
    <t>Central Total</t>
  </si>
  <si>
    <t>East Total</t>
  </si>
  <si>
    <t>South Total</t>
  </si>
  <si>
    <t>West Total</t>
  </si>
  <si>
    <t>AVERAGE of Customer Purchase Frequency (Customer ID = L)</t>
  </si>
  <si>
    <t>COUNTA of Customer ID</t>
  </si>
  <si>
    <t>First Class Total</t>
  </si>
  <si>
    <t>Same Day Total</t>
  </si>
  <si>
    <t>Customer Type</t>
  </si>
  <si>
    <t>AVERAGE of Total sales per customer</t>
  </si>
  <si>
    <t>Loyal</t>
  </si>
  <si>
    <t>Second Class Total</t>
  </si>
  <si>
    <t>Occasional</t>
  </si>
  <si>
    <t>Standard Class Total</t>
  </si>
  <si>
    <t>Interval</t>
  </si>
  <si>
    <t>Sales</t>
  </si>
  <si>
    <t>Month</t>
  </si>
  <si>
    <t>SUM Sales</t>
  </si>
  <si>
    <t>2014 Q1</t>
  </si>
  <si>
    <t>Jan</t>
  </si>
  <si>
    <t>Furniture</t>
  </si>
  <si>
    <t>2014 Q2</t>
  </si>
  <si>
    <t>Feb</t>
  </si>
  <si>
    <t>Office Supplies</t>
  </si>
  <si>
    <t>2014 Q3</t>
  </si>
  <si>
    <t>Mar</t>
  </si>
  <si>
    <t>Technology</t>
  </si>
  <si>
    <t>2014 Q4</t>
  </si>
  <si>
    <t>Apr</t>
  </si>
  <si>
    <t>2015 Q1</t>
  </si>
  <si>
    <t>May</t>
  </si>
  <si>
    <t>Consumer Total</t>
  </si>
  <si>
    <t>2015 Q2</t>
  </si>
  <si>
    <t>Jun</t>
  </si>
  <si>
    <t>2015 Q3</t>
  </si>
  <si>
    <t>Jul</t>
  </si>
  <si>
    <t>2015 Q4</t>
  </si>
  <si>
    <t>Aug</t>
  </si>
  <si>
    <t>Corporate Total</t>
  </si>
  <si>
    <t>2016 Q1</t>
  </si>
  <si>
    <t>Sep</t>
  </si>
  <si>
    <t>2016 Q2</t>
  </si>
  <si>
    <t>Oct</t>
  </si>
  <si>
    <t>2016 Q3</t>
  </si>
  <si>
    <t>Nov</t>
  </si>
  <si>
    <t>Home Office Total</t>
  </si>
  <si>
    <t>2016 Q4</t>
  </si>
  <si>
    <t>Dec</t>
  </si>
  <si>
    <t>2017 Q1</t>
  </si>
  <si>
    <t>Orders</t>
  </si>
  <si>
    <t>Quantity</t>
  </si>
  <si>
    <t>2017 Q2</t>
  </si>
  <si>
    <t>2017 Q3</t>
  </si>
  <si>
    <t>2017 Q4</t>
  </si>
  <si>
    <t>SUM Profit</t>
  </si>
  <si>
    <t>Order Count</t>
  </si>
  <si>
    <t>Avg Discount</t>
  </si>
  <si>
    <t>0.12</t>
  </si>
  <si>
    <t>2296919.49</t>
  </si>
  <si>
    <t>Loyal Total</t>
  </si>
  <si>
    <t>Occasional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</si>
</sst>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3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2" numFmtId="164" xfId="0" applyFont="1" applyNumberFormat="1"/>
    <xf borderId="0" fillId="0" fontId="2" numFmtId="0" xfId="0" applyAlignment="1" applyFont="1">
      <alignment readingOrder="0" shrinkToFit="0" vertical="center" wrapText="0"/>
    </xf>
    <xf borderId="0" fillId="0" fontId="2" numFmtId="9" xfId="0" applyAlignment="1" applyFont="1" applyNumberFormat="1">
      <alignment readingOrder="0" shrinkToFit="0" vertical="center" wrapText="0"/>
    </xf>
    <xf borderId="0" fillId="0" fontId="4" numFmtId="3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3" numFmtId="3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vertical="bottom"/>
    </xf>
    <xf borderId="0" fillId="0" fontId="2" numFmtId="2" xfId="0" applyAlignment="1" applyFont="1" applyNumberFormat="1">
      <alignment horizontal="left" readingOrder="0" shrinkToFit="0" vertical="center" wrapText="0"/>
    </xf>
    <xf borderId="0" fillId="0" fontId="2" numFmtId="1" xfId="0" applyAlignment="1" applyFont="1" applyNumberFormat="1">
      <alignment horizontal="left" readingOrder="0" shrinkToFit="0" vertical="center" wrapText="0"/>
    </xf>
    <xf borderId="0" fillId="0" fontId="3" numFmtId="2" xfId="0" applyAlignment="1" applyFont="1" applyNumberFormat="1">
      <alignment readingOrder="0" shrinkToFit="0" vertical="center" wrapText="0"/>
    </xf>
    <xf borderId="0" fillId="0" fontId="3" numFmtId="1" xfId="0" applyAlignment="1" applyFont="1" applyNumberFormat="1">
      <alignment readingOrder="0" shrinkToFit="0" vertical="center" wrapText="0"/>
    </xf>
    <xf borderId="0" fillId="0" fontId="2" numFmtId="2" xfId="0" applyAlignment="1" applyFont="1" applyNumberFormat="1">
      <alignment readingOrder="0" shrinkToFit="0" vertical="center" wrapText="0"/>
    </xf>
    <xf borderId="0" fillId="0" fontId="2" numFmtId="1" xfId="0" applyAlignment="1" applyFont="1" applyNumberFormat="1">
      <alignment readingOrder="0" shrinkToFit="0" vertical="center" wrapText="0"/>
    </xf>
    <xf borderId="0" fillId="0" fontId="2" numFmtId="9" xfId="0" applyAlignment="1" applyFont="1" applyNumberFormat="1">
      <alignment horizontal="left" readingOrder="0" shrinkToFit="0" vertical="center" wrapText="0"/>
    </xf>
    <xf borderId="0" fillId="0" fontId="2" numFmtId="9" xfId="0" applyAlignment="1" applyFont="1" applyNumberFormat="1">
      <alignment shrinkToFit="0" vertical="center" wrapText="0"/>
    </xf>
    <xf borderId="0" fillId="0" fontId="3" numFmtId="2" xfId="0" applyAlignment="1" applyFont="1" applyNumberFormat="1">
      <alignment shrinkToFit="0" vertical="center" wrapText="0"/>
    </xf>
    <xf borderId="0" fillId="0" fontId="3" numFmtId="1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Font="1"/>
    <xf borderId="0" fillId="0" fontId="2" numFmtId="2" xfId="0" applyAlignment="1" applyFont="1" applyNumberFormat="1">
      <alignment shrinkToFit="0" vertical="center" wrapText="0"/>
    </xf>
    <xf borderId="0" fillId="0" fontId="2" numFmtId="3" xfId="0" applyFont="1" applyNumberFormat="1"/>
    <xf borderId="0" fillId="0" fontId="2" numFmtId="3" xfId="0" applyAlignment="1" applyFont="1" applyNumberFormat="1">
      <alignment horizontal="left" readingOrder="0" shrinkToFit="0" vertical="center" wrapText="0"/>
    </xf>
    <xf borderId="0" fillId="0" fontId="3" numFmtId="3" xfId="0" applyAlignment="1" applyFont="1" applyNumberFormat="1">
      <alignment shrinkToFit="0" vertical="center" wrapText="0"/>
    </xf>
    <xf borderId="0" fillId="0" fontId="4" numFmtId="3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2" numFmtId="3" xfId="0" applyAlignment="1" applyFont="1" applyNumberFormat="1">
      <alignment readingOrder="0"/>
    </xf>
    <xf borderId="0" fillId="0" fontId="2" numFmtId="1" xfId="0" applyAlignment="1" applyFont="1" applyNumberFormat="1">
      <alignment shrinkToFit="0" vertical="center" wrapText="0"/>
    </xf>
    <xf borderId="0" fillId="0" fontId="4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2" numFmtId="9" xfId="0" applyFont="1" applyNumberFormat="1"/>
    <xf borderId="0" fillId="0" fontId="3" numFmtId="2" xfId="0" applyAlignment="1" applyFont="1" applyNumberFormat="1">
      <alignment horizontal="left" readingOrder="0" shrinkToFit="0" vertical="center" wrapText="0"/>
    </xf>
    <xf borderId="0" fillId="0" fontId="2" numFmtId="2" xfId="0" applyFont="1" applyNumberFormat="1"/>
    <xf borderId="0" fillId="0" fontId="2" numFmtId="10" xfId="0" applyAlignment="1" applyFont="1" applyNumberFormat="1">
      <alignment readingOrder="0" shrinkToFit="0" vertical="center" wrapText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border>
        <left style="thin">
          <color rgb="FF666666"/>
        </left>
        <right style="thin">
          <color rgb="FF666666"/>
        </right>
        <top style="thin">
          <color rgb="FF666666"/>
        </top>
        <bottom style="thin">
          <color rgb="FF666666"/>
        </bottom>
      </border>
    </dxf>
    <dxf>
      <font/>
      <fill>
        <patternFill patternType="solid">
          <fgColor rgb="FF434343"/>
          <bgColor rgb="FF434343"/>
        </patternFill>
      </fill>
      <border/>
    </dxf>
  </dxfs>
  <tableStyles count="34">
    <tableStyle count="4" pivot="0" name="Final_cleaned_Vers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l_cleaned_Version-style 2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3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4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5" pivot="0" name="Final_cleaned_Version-style 5">
      <tableStyleElement dxfId="5" type="headerRow"/>
      <tableStyleElement dxfId="3" type="firstRowStripe"/>
      <tableStyleElement dxfId="2" type="secondRowStripe"/>
      <tableStyleElement dxfId="2" type="totalRow"/>
      <tableStyleElement dxfId="4" size="0" type="wholeTable"/>
    </tableStyle>
    <tableStyle count="4" pivot="0" name="Final_cleaned_Version-style 6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5" pivot="0" name="Final_cleaned_Version-style 7">
      <tableStyleElement dxfId="5" type="headerRow"/>
      <tableStyleElement dxfId="3" type="firstRowStripe"/>
      <tableStyleElement dxfId="2" type="secondRowStripe"/>
      <tableStyleElement dxfId="2" type="totalRow"/>
      <tableStyleElement dxfId="4" size="0" type="wholeTable"/>
    </tableStyle>
    <tableStyle count="5" pivot="0" name="Final_cleaned_Version-style 8">
      <tableStyleElement dxfId="5" type="headerRow"/>
      <tableStyleElement dxfId="3" type="firstRowStripe"/>
      <tableStyleElement dxfId="2" type="secondRowStripe"/>
      <tableStyleElement dxfId="2" type="totalRow"/>
      <tableStyleElement dxfId="4" size="0" type="wholeTable"/>
    </tableStyle>
    <tableStyle count="4" pivot="0" name="Final_cleaned_Version-style 9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10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11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5" pivot="0" name="Final_cleaned_Version-style 12">
      <tableStyleElement dxfId="5" type="headerRow"/>
      <tableStyleElement dxfId="3" type="firstRowStripe"/>
      <tableStyleElement dxfId="2" type="secondRowStripe"/>
      <tableStyleElement dxfId="2" type="totalRow"/>
      <tableStyleElement dxfId="4" size="0" type="wholeTable"/>
    </tableStyle>
    <tableStyle count="4" pivot="0" name="Final_cleaned_Version-style 13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14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15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16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17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18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19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20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21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22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23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24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25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5" pivot="0" name="Final_cleaned_Version-style 26">
      <tableStyleElement dxfId="5" type="headerRow"/>
      <tableStyleElement dxfId="3" type="firstRowStripe"/>
      <tableStyleElement dxfId="2" type="secondRowStripe"/>
      <tableStyleElement dxfId="2" type="totalRow"/>
      <tableStyleElement dxfId="4" size="0" type="wholeTable"/>
    </tableStyle>
    <tableStyle count="4" pivot="0" name="Final_cleaned_Version-style 27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28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29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30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31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32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33">
      <tableStyleElement dxfId="5" type="headerRow"/>
      <tableStyleElement dxfId="3" type="firstRowStripe"/>
      <tableStyleElement dxfId="2" type="secondRowStripe"/>
      <tableStyleElement dxfId="4" size="0" type="wholeTable"/>
    </tableStyle>
    <tableStyle count="4" pivot="0" name="Final_cleaned_Version-style 34">
      <tableStyleElement dxfId="5" type="headerRow"/>
      <tableStyleElement dxfId="3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" displayName="Table1" name="Table1" id="1">
  <tableColumns count="5">
    <tableColumn name="SUM of Sales" id="1"/>
    <tableColumn name="Category" id="2"/>
    <tableColumn name="Column 1" id="3"/>
    <tableColumn name="Column 2" id="4"/>
    <tableColumn name="Column 3" id="5"/>
  </tableColumns>
  <tableStyleInfo name="Final_cleaned_Version-style" showColumnStripes="0" showFirstColumn="1" showLastColumn="1" showRowStripes="1"/>
</table>
</file>

<file path=xl/tables/table2.xml><?xml version="1.0" encoding="utf-8"?>
<table xmlns="http://schemas.openxmlformats.org/spreadsheetml/2006/main" ref="G1:L5" displayName="Table3" name="Table3" id="2">
  <tableColumns count="6">
    <tableColumn name="Category" id="1"/>
    <tableColumn name="SUM of Sales" id="2"/>
    <tableColumn name="SUM of Profit" id="3"/>
    <tableColumn name="AVERAGE of Profit Margin" id="4"/>
    <tableColumn name="AVERAGE of Discount" id="5"/>
    <tableColumn name="COUNTA of Loss Flag" id="6"/>
  </tableColumns>
  <tableStyleInfo name="Final_cleaned_Version-style 2" showColumnStripes="0" showFirstColumn="1" showLastColumn="1" showRowStripes="1"/>
</table>
</file>

<file path=xl/tables/table3.xml><?xml version="1.0" encoding="utf-8"?>
<table xmlns="http://schemas.openxmlformats.org/spreadsheetml/2006/main" ref="O1:W22" displayName="Table16" name="Table16" id="3">
  <tableColumns count="9">
    <tableColumn name="Category" id="1"/>
    <tableColumn name="Sub-Category" id="2"/>
    <tableColumn name="SUM of Profit" id="3"/>
    <tableColumn name="AVERAGE of Profit Margin" id="4"/>
    <tableColumn name="Column 1" id="5"/>
    <tableColumn name="Year" id="6"/>
    <tableColumn name="Quarter" id="7"/>
    <tableColumn name="SUM of Profit 2" id="8"/>
    <tableColumn name="AVERAGE of Profit Margin 2" id="9"/>
  </tableColumns>
  <tableStyleInfo name="Final_cleaned_Version-style 3" showColumnStripes="0" showFirstColumn="1" showLastColumn="1" showRowStripes="1"/>
</table>
</file>

<file path=xl/tables/table4.xml><?xml version="1.0" encoding="utf-8"?>
<table xmlns="http://schemas.openxmlformats.org/spreadsheetml/2006/main" ref="Y1:AG8" displayName="Table31" name="Table31" id="4">
  <tableColumns count="9">
    <tableColumn name="Column 1" id="1"/>
    <tableColumn name="Shipping Speed" id="2"/>
    <tableColumn name="Values" id="3"/>
    <tableColumn name="Column 2" id="4"/>
    <tableColumn name="Column 3" id="5"/>
    <tableColumn name="Column 4" id="6"/>
    <tableColumn name="Column 5" id="7"/>
    <tableColumn name="Column 6" id="8"/>
    <tableColumn name="Column 7" id="9"/>
  </tableColumns>
  <tableStyleInfo name="Final_cleaned_Version-style 4" showColumnStripes="0" showFirstColumn="1" showLastColumn="1" showRowStripes="1"/>
</table>
</file>

<file path=xl/tables/table5.xml><?xml version="1.0" encoding="utf-8"?>
<table xmlns="http://schemas.openxmlformats.org/spreadsheetml/2006/main" totalsRowCount="1" ref="G8:L13" displayName="Table4" name="Table4" id="5">
  <tableColumns count="6">
    <tableColumn totalsRowLabel="Grand Total" name="SUM of Sales" id="1"/>
    <tableColumn totalsRowLabel="501239.89" name="Region" id="2"/>
    <tableColumn totalsRowFunction="custom" name="Column 1" id="3"/>
    <tableColumn totalsRowFunction="custom" name="Column 2" id="4"/>
    <tableColumn totalsRowFunction="custom" name="Column 3" id="5"/>
    <tableColumn totalsRowFunction="custom" name="Column 4" id="6"/>
  </tableColumns>
  <tableStyleInfo name="Final_cleaned_Version-style 5" showColumnStripes="0" showFirstColumn="1" showLastColumn="1" showRowStripes="1"/>
</table>
</file>

<file path=xl/tables/table6.xml><?xml version="1.0" encoding="utf-8"?>
<table xmlns="http://schemas.openxmlformats.org/spreadsheetml/2006/main" ref="A10:D31" displayName="Table2" name="Table2" id="6">
  <tableColumns count="4">
    <tableColumn name="Category" id="1"/>
    <tableColumn name="Sub-Category" id="2"/>
    <tableColumn name="SUM of Sales" id="3"/>
    <tableColumn name="SUM of Quantity" id="4"/>
  </tableColumns>
  <tableStyleInfo name="Final_cleaned_Version-style 6" showColumnStripes="0" showFirstColumn="1" showLastColumn="1" showRowStripes="1"/>
</table>
</file>

<file path=xl/tables/table7.xml><?xml version="1.0" encoding="utf-8"?>
<table xmlns="http://schemas.openxmlformats.org/spreadsheetml/2006/main" totalsRowCount="1" ref="Y11:AH31" displayName="Table33" name="Table33" id="7">
  <tableColumns count="10">
    <tableColumn totalsRowLabel="Grand Total" name="Column 1" id="1"/>
    <tableColumn totalsRowLabel="48%" name="Loss Flag" id="2"/>
    <tableColumn totalsRowFunction="custom" name="Values" id="3"/>
    <tableColumn totalsRowLabel="1870" name="Column 2" id="4"/>
    <tableColumn totalsRowLabel="8%" name="Column 3" id="5"/>
    <tableColumn totalsRowFunction="custom" name="Column 4" id="6"/>
    <tableColumn totalsRowFunction="custom" name="Column 5" id="7"/>
    <tableColumn totalsRowLabel="16%" name="Column 6" id="8"/>
    <tableColumn totalsRowFunction="custom" name="Column 7" id="9"/>
    <tableColumn totalsRowLabel="9993" name="Column 8" id="10"/>
  </tableColumns>
  <tableStyleInfo name="Final_cleaned_Version-style 7" showColumnStripes="0" showFirstColumn="1" showLastColumn="1" showRowStripes="1"/>
</table>
</file>

<file path=xl/tables/table8.xml><?xml version="1.0" encoding="utf-8"?>
<table xmlns="http://schemas.openxmlformats.org/spreadsheetml/2006/main" totalsRowCount="1" ref="G16:K22" displayName="Table6" name="Table6" id="8">
  <tableColumns count="5">
    <tableColumn totalsRowLabel="Grand Total" name="SUM of Sales" id="1"/>
    <tableColumn totalsRowLabel="359681.58" name="Quarter" id="2"/>
    <tableColumn totalsRowLabel="445228.25" name="Column 1" id="3"/>
    <tableColumn totalsRowLabel="613932.11" name="Column 2" id="4"/>
    <tableColumn totalsRowLabel="878077.56" name="Column 3" id="5"/>
  </tableColumns>
  <tableStyleInfo name="Final_cleaned_Version-style 8" showColumnStripes="0" showFirstColumn="1" showLastColumn="1" showRowStripes="1"/>
</table>
</file>

<file path=xl/tables/table9.xml><?xml version="1.0" encoding="utf-8"?>
<table xmlns="http://schemas.openxmlformats.org/spreadsheetml/2006/main" ref="O25:W31" displayName="Table17" name="Table17" id="9">
  <tableColumns count="9">
    <tableColumn name="Column 1" id="1"/>
    <tableColumn name="Category" id="2"/>
    <tableColumn name="Values" id="3"/>
    <tableColumn name="Column 2" id="4"/>
    <tableColumn name="Column 3" id="5"/>
    <tableColumn name="Column 4" id="6"/>
    <tableColumn name="Column 5" id="7"/>
    <tableColumn name="Column 6" id="8"/>
    <tableColumn name="Column 7" id="9"/>
  </tableColumns>
  <tableStyleInfo name="Final_cleaned_Version-style 9" showColumnStripes="0" showFirstColumn="1" showLastColumn="1" showRowStripes="1"/>
</table>
</file>

<file path=xl/tables/table10.xml><?xml version="1.0" encoding="utf-8"?>
<table xmlns="http://schemas.openxmlformats.org/spreadsheetml/2006/main" ref="A34:I40" displayName="Table7" name="Table7" id="10">
  <tableColumns count="9">
    <tableColumn name="Column 1" id="1"/>
    <tableColumn name="Category" id="2"/>
    <tableColumn name="Values" id="3"/>
    <tableColumn name="Column 2" id="4"/>
    <tableColumn name="Column 3" id="5"/>
    <tableColumn name="Column 4" id="6"/>
    <tableColumn name="Column 5" id="7"/>
    <tableColumn name="Column 6" id="8"/>
    <tableColumn name="Column 7" id="9"/>
  </tableColumns>
  <tableStyleInfo name="Final_cleaned_Version-style 10" showColumnStripes="0" showFirstColumn="1" showLastColumn="1" showRowStripes="1"/>
</table>
</file>

<file path=xl/tables/table11.xml><?xml version="1.0" encoding="utf-8"?>
<table xmlns="http://schemas.openxmlformats.org/spreadsheetml/2006/main" ref="O34:V41" displayName="Table18" name="Table18" id="11">
  <tableColumns count="8">
    <tableColumn name="Column 1" id="1"/>
    <tableColumn name="Segment" id="2"/>
    <tableColumn name="Values" id="3"/>
    <tableColumn name="Column 2" id="4"/>
    <tableColumn name="Column 3" id="5"/>
    <tableColumn name="Column 4" id="6"/>
    <tableColumn name="Column 5" id="7"/>
    <tableColumn name="Column 6" id="8"/>
  </tableColumns>
  <tableStyleInfo name="Final_cleaned_Version-style 11" showColumnStripes="0" showFirstColumn="1" showLastColumn="1" showRowStripes="1"/>
</table>
</file>

<file path=xl/tables/table12.xml><?xml version="1.0" encoding="utf-8"?>
<table xmlns="http://schemas.openxmlformats.org/spreadsheetml/2006/main" totalsRowCount="1" ref="Y34:AN41" displayName="Table32" name="Table32" id="12">
  <tableColumns count="16">
    <tableColumn totalsRowLabel="Grand Total" name="Column 1" id="1"/>
    <tableColumn totalsRowLabel="2" name="Ship Mode" id="2"/>
    <tableColumn totalsRowLabel="1538" name="Values" id="3"/>
    <tableColumn totalsRowLabel="351428.42" name="Column 2" id="4"/>
    <tableColumn totalsRowLabel="0" name="Column 3" id="5"/>
    <tableColumn totalsRowLabel="543" name="Column 4" id="6"/>
    <tableColumn totalsRowLabel="128363.13" name="Column 5" id="7"/>
    <tableColumn totalsRowLabel="3" name="Column 6" id="8"/>
    <tableColumn totalsRowLabel="1945" name="Column 7" id="9"/>
    <tableColumn totalsRowLabel="459193.57" name="Column 8" id="10"/>
    <tableColumn totalsRowLabel="5" name="Column 9" id="11"/>
    <tableColumn totalsRowLabel="5967" name="Column 10" id="12"/>
    <tableColumn totalsRowLabel="1357934.37" name="Column 11" id="13"/>
    <tableColumn totalsRowLabel="4" name="Column 12" id="14"/>
    <tableColumn totalsRowFunction="custom" name="Column 13" id="15"/>
    <tableColumn totalsRowFunction="custom" name="Column 14" id="16"/>
  </tableColumns>
  <tableStyleInfo name="Final_cleaned_Version-style 12" showColumnStripes="0" showFirstColumn="1" showLastColumn="1" showRowStripes="1"/>
</table>
</file>

<file path=xl/tables/table13.xml><?xml version="1.0" encoding="utf-8"?>
<table xmlns="http://schemas.openxmlformats.org/spreadsheetml/2006/main" ref="A43:H50" displayName="Table8" name="Table8" id="13">
  <tableColumns count="8">
    <tableColumn name="Column 1" id="1"/>
    <tableColumn name="Category" id="2"/>
    <tableColumn name="Values" id="3"/>
    <tableColumn name="Column 2" id="4"/>
    <tableColumn name="Column 3" id="5"/>
    <tableColumn name="Column 4" id="6"/>
    <tableColumn name="Column 5" id="7"/>
    <tableColumn name="Column 6" id="8"/>
  </tableColumns>
  <tableStyleInfo name="Final_cleaned_Version-style 13" showColumnStripes="0" showFirstColumn="1" showLastColumn="1" showRowStripes="1"/>
</table>
</file>

<file path=xl/tables/table14.xml><?xml version="1.0" encoding="utf-8"?>
<table xmlns="http://schemas.openxmlformats.org/spreadsheetml/2006/main" ref="O44:V63" displayName="Table19" name="Table19" id="14">
  <tableColumns count="8">
    <tableColumn name="Column 1" id="1"/>
    <tableColumn name="Column 2" id="2"/>
    <tableColumn name="Loss Flag" id="3"/>
    <tableColumn name="Values" id="4"/>
    <tableColumn name="Column 3" id="5"/>
    <tableColumn name="Column 4" id="6"/>
    <tableColumn name="Column 5" id="7"/>
    <tableColumn name="Column 6" id="8"/>
  </tableColumns>
  <tableStyleInfo name="Final_cleaned_Version-style 14" showColumnStripes="0" showFirstColumn="1" showLastColumn="1" showRowStripes="1"/>
</table>
</file>

<file path=xl/tables/table15.xml><?xml version="1.0" encoding="utf-8"?>
<table xmlns="http://schemas.openxmlformats.org/spreadsheetml/2006/main" ref="Y44:AK51" displayName="Table34" name="Table34" id="15">
  <tableColumns count="13">
    <tableColumn name="Column 1" id="1"/>
    <tableColumn name="Segment" id="2"/>
    <tableColumn name="Values" id="3"/>
    <tableColumn name="Column 2" id="4"/>
    <tableColumn name="Column 3" id="5"/>
    <tableColumn name="Column 4" id="6"/>
    <tableColumn name="Column 5" id="7"/>
    <tableColumn name="Column 6" id="8"/>
    <tableColumn name="Column 7" id="9"/>
    <tableColumn name="Column 8" id="10"/>
    <tableColumn name="Column 9" id="11"/>
    <tableColumn name="Column 10" id="12"/>
    <tableColumn name="Column 11" id="13"/>
  </tableColumns>
  <tableStyleInfo name="Final_cleaned_Version-style 15" showColumnStripes="0" showFirstColumn="1" showLastColumn="1" showRowStripes="1"/>
</table>
</file>

<file path=xl/tables/table16.xml><?xml version="1.0" encoding="utf-8"?>
<table xmlns="http://schemas.openxmlformats.org/spreadsheetml/2006/main" ref="A53:I60" displayName="Table9" name="Table9" id="16">
  <tableColumns count="9">
    <tableColumn name="Column 1" id="1"/>
    <tableColumn name="Category" id="2"/>
    <tableColumn name="Values" id="3"/>
    <tableColumn name="Column 2" id="4"/>
    <tableColumn name="Column 3" id="5"/>
    <tableColumn name="Column 4" id="6"/>
    <tableColumn name="Column 5" id="7"/>
    <tableColumn name="Column 6" id="8"/>
    <tableColumn name="Column 7" id="9"/>
  </tableColumns>
  <tableStyleInfo name="Final_cleaned_Version-style 16" showColumnStripes="0" showFirstColumn="1" showLastColumn="1" showRowStripes="1"/>
</table>
</file>

<file path=xl/tables/table17.xml><?xml version="1.0" encoding="utf-8"?>
<table xmlns="http://schemas.openxmlformats.org/spreadsheetml/2006/main" ref="Y54:AK60" displayName="Table35" name="Table35" id="17">
  <tableColumns count="13">
    <tableColumn name="Column 1" id="1"/>
    <tableColumn name="Category" id="2"/>
    <tableColumn name="Values" id="3"/>
    <tableColumn name="Column 2" id="4"/>
    <tableColumn name="Column 3" id="5"/>
    <tableColumn name="Column 4" id="6"/>
    <tableColumn name="Column 5" id="7"/>
    <tableColumn name="Column 6" id="8"/>
    <tableColumn name="Column 7" id="9"/>
    <tableColumn name="Column 8" id="10"/>
    <tableColumn name="Column 9" id="11"/>
    <tableColumn name="Column 10" id="12"/>
    <tableColumn name="Column 11" id="13"/>
  </tableColumns>
  <tableStyleInfo name="Final_cleaned_Version-style 17" showColumnStripes="0" showFirstColumn="1" showLastColumn="1" showRowStripes="1"/>
</table>
</file>

<file path=xl/tables/table18.xml><?xml version="1.0" encoding="utf-8"?>
<table xmlns="http://schemas.openxmlformats.org/spreadsheetml/2006/main" ref="A63:I86" displayName="Table10" name="Table10" id="18">
  <tableColumns count="9">
    <tableColumn name="Column 1" id="1"/>
    <tableColumn name="Column 2" id="2"/>
    <tableColumn name="Loss Flag" id="3"/>
    <tableColumn name="Values" id="4"/>
    <tableColumn name="Column 3" id="5"/>
    <tableColumn name="Column 4" id="6"/>
    <tableColumn name="Column 5" id="7"/>
    <tableColumn name="Column 6" id="8"/>
    <tableColumn name="Column 7" id="9"/>
  </tableColumns>
  <tableStyleInfo name="Final_cleaned_Version-style 18" showColumnStripes="0" showFirstColumn="1" showLastColumn="1" showRowStripes="1"/>
</table>
</file>

<file path=xl/tables/table19.xml><?xml version="1.0" encoding="utf-8"?>
<table xmlns="http://schemas.openxmlformats.org/spreadsheetml/2006/main" ref="Y63:AI69" displayName="Table36" name="Table36" id="19">
  <tableColumns count="11">
    <tableColumn name="Column 1" id="1"/>
    <tableColumn name="Region" id="2"/>
    <tableColumn name="Values" id="3"/>
    <tableColumn name="Column 2" id="4"/>
    <tableColumn name="Column 3" id="5"/>
    <tableColumn name="Column 4" id="6"/>
    <tableColumn name="Column 5" id="7"/>
    <tableColumn name="Column 6" id="8"/>
    <tableColumn name="Column 7" id="9"/>
    <tableColumn name="Column 8" id="10"/>
    <tableColumn name="Column 9" id="11"/>
  </tableColumns>
  <tableStyleInfo name="Final_cleaned_Version-style 19" showColumnStripes="0" showFirstColumn="1" showLastColumn="1" showRowStripes="1"/>
</table>
</file>

<file path=xl/tables/table20.xml><?xml version="1.0" encoding="utf-8"?>
<table xmlns="http://schemas.openxmlformats.org/spreadsheetml/2006/main" ref="O66:V81" displayName="Table20" name="Table20" id="20">
  <tableColumns count="8">
    <tableColumn name="Column 1" id="1"/>
    <tableColumn name="Column 2" id="2"/>
    <tableColumn name="Loss Flag" id="3"/>
    <tableColumn name="Values" id="4"/>
    <tableColumn name="Column 3" id="5"/>
    <tableColumn name="Column 4" id="6"/>
    <tableColumn name="Column 5" id="7"/>
    <tableColumn name="Column 6" id="8"/>
  </tableColumns>
  <tableStyleInfo name="Final_cleaned_Version-style 20" showColumnStripes="0" showFirstColumn="1" showLastColumn="1" showRowStripes="1"/>
</table>
</file>

<file path=xl/tables/table21.xml><?xml version="1.0" encoding="utf-8"?>
<table xmlns="http://schemas.openxmlformats.org/spreadsheetml/2006/main" ref="Y72:AI77" displayName="Table37" name="Table37" id="21">
  <tableColumns count="11">
    <tableColumn name="Column 1" id="1"/>
    <tableColumn name="Region" id="2"/>
    <tableColumn name="Values" id="3"/>
    <tableColumn name="Column 2" id="4"/>
    <tableColumn name="Column 3" id="5"/>
    <tableColumn name="Column 4" id="6"/>
    <tableColumn name="Column 5" id="7"/>
    <tableColumn name="Column 6" id="8"/>
    <tableColumn name="Column 7" id="9"/>
    <tableColumn name="Column 8" id="10"/>
    <tableColumn name="Column 9" id="11"/>
  </tableColumns>
  <tableStyleInfo name="Final_cleaned_Version-style 21" showColumnStripes="0" showFirstColumn="1" showLastColumn="1" showRowStripes="1"/>
</table>
</file>

<file path=xl/tables/table22.xml><?xml version="1.0" encoding="utf-8"?>
<table xmlns="http://schemas.openxmlformats.org/spreadsheetml/2006/main" ref="L86:Q102" displayName="Table21" name="Table21" id="22">
  <tableColumns count="6">
    <tableColumn name="Interval" id="1"/>
    <tableColumn name="Sales" id="2"/>
    <tableColumn name="Profit" id="3"/>
    <tableColumn name="Column 1" id="4"/>
    <tableColumn name="Month" id="5"/>
    <tableColumn name="SUM Sales" id="6"/>
  </tableColumns>
  <tableStyleInfo name="Final_cleaned_Version-style 22" showColumnStripes="0" showFirstColumn="1" showLastColumn="1" showRowStripes="1"/>
</table>
</file>

<file path=xl/tables/table23.xml><?xml version="1.0" encoding="utf-8"?>
<table xmlns="http://schemas.openxmlformats.org/spreadsheetml/2006/main" ref="S86:U90" displayName="Table29" name="Table29" id="23">
  <tableColumns count="3">
    <tableColumn name="Region" id="1"/>
    <tableColumn name="Sales" id="2"/>
    <tableColumn name="Profit" id="3"/>
  </tableColumns>
  <tableStyleInfo name="Final_cleaned_Version-style 23" showColumnStripes="0" showFirstColumn="1" showLastColumn="1" showRowStripes="1"/>
</table>
</file>

<file path=xl/tables/table24.xml><?xml version="1.0" encoding="utf-8"?>
<table xmlns="http://schemas.openxmlformats.org/spreadsheetml/2006/main" ref="W86:Z89" displayName="Table23" name="Table23" id="24">
  <tableColumns count="4">
    <tableColumn name="Category" id="1"/>
    <tableColumn name="Profit" id="2"/>
    <tableColumn name="High Loss" id="3"/>
    <tableColumn name="Low Loss" id="4"/>
  </tableColumns>
  <tableStyleInfo name="Final_cleaned_Version-style 24" showColumnStripes="0" showFirstColumn="1" showLastColumn="1" showRowStripes="1"/>
</table>
</file>

<file path=xl/tables/table25.xml><?xml version="1.0" encoding="utf-8"?>
<table xmlns="http://schemas.openxmlformats.org/spreadsheetml/2006/main" ref="A89:D99" displayName="Table11" name="Table11" id="25">
  <tableColumns count="4">
    <tableColumn name="Segment" id="1"/>
    <tableColumn name="Customer Type" id="2"/>
    <tableColumn name="SUM of Profit" id="3"/>
    <tableColumn name="AVERAGE of Profit Margin" id="4"/>
  </tableColumns>
  <tableStyleInfo name="Final_cleaned_Version-style 25" showColumnStripes="0" showFirstColumn="1" showLastColumn="1" showRowStripes="1"/>
</table>
</file>

<file path=xl/tables/table26.xml><?xml version="1.0" encoding="utf-8"?>
<table xmlns="http://schemas.openxmlformats.org/spreadsheetml/2006/main" totalsRowCount="1" ref="G89:J107" displayName="Table14" name="Table14" id="26">
  <tableColumns count="4">
    <tableColumn totalsRowLabel="Grand Total" name="Sub-Category" id="1"/>
    <tableColumn totalsRowLabel="16%" name="AVERAGE of Discount" id="2"/>
    <tableColumn totalsRowLabel="0.12" name="AVERAGE of Profit Margin" id="3"/>
    <tableColumn totalsRowLabel="2296919.49" name="SUM of Sales" id="4"/>
  </tableColumns>
  <tableStyleInfo name="Final_cleaned_Version-style 26" showColumnStripes="0" showFirstColumn="1" showLastColumn="1" showRowStripes="1"/>
</table>
</file>

<file path=xl/tables/table27.xml><?xml version="1.0" encoding="utf-8"?>
<table xmlns="http://schemas.openxmlformats.org/spreadsheetml/2006/main" ref="S93:T96" displayName="Table28" name="Table28" id="27">
  <tableColumns count="2">
    <tableColumn name="Segment" id="1"/>
    <tableColumn name="Sales" id="2"/>
  </tableColumns>
  <tableStyleInfo name="Final_cleaned_Version-style 27" showColumnStripes="0" showFirstColumn="1" showLastColumn="1" showRowStripes="1"/>
</table>
</file>

<file path=xl/tables/table28.xml><?xml version="1.0" encoding="utf-8"?>
<table xmlns="http://schemas.openxmlformats.org/spreadsheetml/2006/main" ref="V93:X96" displayName="Table30" name="Table30" id="28">
  <tableColumns count="3">
    <tableColumn name="Category" id="1"/>
    <tableColumn name="Sales" id="2"/>
    <tableColumn name="Profit" id="3"/>
  </tableColumns>
  <tableStyleInfo name="Final_cleaned_Version-style 28" showColumnStripes="0" showFirstColumn="1" showLastColumn="1" showRowStripes="1"/>
</table>
</file>

<file path=xl/tables/table29.xml><?xml version="1.0" encoding="utf-8"?>
<table xmlns="http://schemas.openxmlformats.org/spreadsheetml/2006/main" ref="S99:W103" displayName="Table26" name="Table26" id="29">
  <tableColumns count="5">
    <tableColumn name="Column 1" id="1"/>
    <tableColumn name="Orders" id="2"/>
    <tableColumn name="Column 2" id="3"/>
    <tableColumn name="Category" id="4"/>
    <tableColumn name="Quantity" id="5"/>
  </tableColumns>
  <tableStyleInfo name="Final_cleaned_Version-style 29" showColumnStripes="0" showFirstColumn="1" showLastColumn="1" showRowStripes="1"/>
</table>
</file>

<file path=xl/tables/table30.xml><?xml version="1.0" encoding="utf-8"?>
<table xmlns="http://schemas.openxmlformats.org/spreadsheetml/2006/main" ref="A102:E123" displayName="Table13" name="Table13" id="30">
  <tableColumns count="5">
    <tableColumn name="Category" id="1"/>
    <tableColumn name="Sub-Category" id="2"/>
    <tableColumn name="AVERAGE of Discount" id="3"/>
    <tableColumn name="SUM of Discount Amount (Sales × Discount)" id="4"/>
    <tableColumn name="SUM of Profit" id="5"/>
  </tableColumns>
  <tableStyleInfo name="Final_cleaned_Version-style 30" showColumnStripes="0" showFirstColumn="1" showLastColumn="1" showRowStripes="1"/>
</table>
</file>

<file path=xl/tables/table31.xml><?xml version="1.0" encoding="utf-8"?>
<table xmlns="http://schemas.openxmlformats.org/spreadsheetml/2006/main" ref="L105:N108" displayName="Table22" name="Table22" id="31">
  <tableColumns count="3">
    <tableColumn name="Loss Severity" id="1"/>
    <tableColumn name="SUM Profit" id="2"/>
    <tableColumn name="Order Count" id="3"/>
  </tableColumns>
  <tableStyleInfo name="Final_cleaned_Version-style 31" showColumnStripes="0" showFirstColumn="1" showLastColumn="1" showRowStripes="1"/>
</table>
</file>

<file path=xl/tables/table32.xml><?xml version="1.0" encoding="utf-8"?>
<table xmlns="http://schemas.openxmlformats.org/spreadsheetml/2006/main" ref="P105:Q109" displayName="Table27" name="Table27" id="32">
  <tableColumns count="2">
    <tableColumn name="Region" id="1"/>
    <tableColumn name="Avg Discount" id="2"/>
  </tableColumns>
  <tableStyleInfo name="Final_cleaned_Version-style 32" showColumnStripes="0" showFirstColumn="1" showLastColumn="1" showRowStripes="1"/>
</table>
</file>

<file path=xl/tables/table33.xml><?xml version="1.0" encoding="utf-8"?>
<table xmlns="http://schemas.openxmlformats.org/spreadsheetml/2006/main" ref="L112:M129" displayName="Table24" name="Table24" id="33">
  <tableColumns count="2">
    <tableColumn name="Sub-Category" id="1"/>
    <tableColumn name="Profit" id="2"/>
  </tableColumns>
  <tableStyleInfo name="Final_cleaned_Version-style 33" showColumnStripes="0" showFirstColumn="1" showLastColumn="1" showRowStripes="1"/>
</table>
</file>

<file path=xl/tables/table34.xml><?xml version="1.0" encoding="utf-8"?>
<table xmlns="http://schemas.openxmlformats.org/spreadsheetml/2006/main" ref="A126:E135" displayName="Table15" name="Table15" id="34">
  <tableColumns count="5">
    <tableColumn name="Customer Type" id="1"/>
    <tableColumn name="Segment" id="2"/>
    <tableColumn name="SUM of Sales" id="3"/>
    <tableColumn name="SUM of Profit" id="4"/>
    <tableColumn name="AVERAGE of Profit Margin" id="5"/>
  </tableColumns>
  <tableStyleInfo name="Final_cleaned_Version-style 3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5.xml"/><Relationship Id="rId62" Type="http://schemas.openxmlformats.org/officeDocument/2006/relationships/table" Target="../tables/table27.xml"/><Relationship Id="rId61" Type="http://schemas.openxmlformats.org/officeDocument/2006/relationships/table" Target="../tables/table26.xml"/><Relationship Id="rId42" Type="http://schemas.openxmlformats.org/officeDocument/2006/relationships/table" Target="../tables/table7.xml"/><Relationship Id="rId64" Type="http://schemas.openxmlformats.org/officeDocument/2006/relationships/table" Target="../tables/table29.xml"/><Relationship Id="rId41" Type="http://schemas.openxmlformats.org/officeDocument/2006/relationships/table" Target="../tables/table6.xml"/><Relationship Id="rId63" Type="http://schemas.openxmlformats.org/officeDocument/2006/relationships/table" Target="../tables/table28.xml"/><Relationship Id="rId44" Type="http://schemas.openxmlformats.org/officeDocument/2006/relationships/table" Target="../tables/table9.xml"/><Relationship Id="rId66" Type="http://schemas.openxmlformats.org/officeDocument/2006/relationships/table" Target="../tables/table31.xml"/><Relationship Id="rId43" Type="http://schemas.openxmlformats.org/officeDocument/2006/relationships/table" Target="../tables/table8.xml"/><Relationship Id="rId65" Type="http://schemas.openxmlformats.org/officeDocument/2006/relationships/table" Target="../tables/table30.xml"/><Relationship Id="rId46" Type="http://schemas.openxmlformats.org/officeDocument/2006/relationships/table" Target="../tables/table11.xml"/><Relationship Id="rId68" Type="http://schemas.openxmlformats.org/officeDocument/2006/relationships/table" Target="../tables/table33.xml"/><Relationship Id="rId45" Type="http://schemas.openxmlformats.org/officeDocument/2006/relationships/table" Target="../tables/table10.xml"/><Relationship Id="rId67" Type="http://schemas.openxmlformats.org/officeDocument/2006/relationships/table" Target="../tables/table32.xml"/><Relationship Id="rId60" Type="http://schemas.openxmlformats.org/officeDocument/2006/relationships/table" Target="../tables/table25.xml"/><Relationship Id="rId1" Type="http://schemas.openxmlformats.org/officeDocument/2006/relationships/drawing" Target="../drawings/drawing1.xml"/><Relationship Id="rId48" Type="http://schemas.openxmlformats.org/officeDocument/2006/relationships/table" Target="../tables/table13.xml"/><Relationship Id="rId47" Type="http://schemas.openxmlformats.org/officeDocument/2006/relationships/table" Target="../tables/table12.xml"/><Relationship Id="rId69" Type="http://schemas.openxmlformats.org/officeDocument/2006/relationships/table" Target="../tables/table34.xml"/><Relationship Id="rId49" Type="http://schemas.openxmlformats.org/officeDocument/2006/relationships/table" Target="../tables/table14.xml"/><Relationship Id="rId51" Type="http://schemas.openxmlformats.org/officeDocument/2006/relationships/table" Target="../tables/table16.xml"/><Relationship Id="rId50" Type="http://schemas.openxmlformats.org/officeDocument/2006/relationships/table" Target="../tables/table15.xml"/><Relationship Id="rId53" Type="http://schemas.openxmlformats.org/officeDocument/2006/relationships/table" Target="../tables/table18.xml"/><Relationship Id="rId52" Type="http://schemas.openxmlformats.org/officeDocument/2006/relationships/table" Target="../tables/table17.xml"/><Relationship Id="rId55" Type="http://schemas.openxmlformats.org/officeDocument/2006/relationships/table" Target="../tables/table20.xml"/><Relationship Id="rId54" Type="http://schemas.openxmlformats.org/officeDocument/2006/relationships/table" Target="../tables/table19.xml"/><Relationship Id="rId57" Type="http://schemas.openxmlformats.org/officeDocument/2006/relationships/table" Target="../tables/table22.xml"/><Relationship Id="rId56" Type="http://schemas.openxmlformats.org/officeDocument/2006/relationships/table" Target="../tables/table21.xml"/><Relationship Id="rId37" Type="http://schemas.openxmlformats.org/officeDocument/2006/relationships/table" Target="../tables/table2.xml"/><Relationship Id="rId59" Type="http://schemas.openxmlformats.org/officeDocument/2006/relationships/table" Target="../tables/table24.xml"/><Relationship Id="rId36" Type="http://schemas.openxmlformats.org/officeDocument/2006/relationships/table" Target="../tables/table1.xml"/><Relationship Id="rId58" Type="http://schemas.openxmlformats.org/officeDocument/2006/relationships/table" Target="../tables/table23.xml"/><Relationship Id="rId39" Type="http://schemas.openxmlformats.org/officeDocument/2006/relationships/table" Target="../tables/table4.xml"/><Relationship Id="rId3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88"/>
    <col customWidth="1" min="2" max="2" width="17.5"/>
    <col customWidth="1" min="3" max="3" width="25.38"/>
    <col customWidth="1" min="4" max="4" width="15.88"/>
    <col customWidth="1" min="5" max="5" width="23.5"/>
    <col customWidth="1" min="6" max="6" width="15.0"/>
    <col customWidth="1" min="7" max="7" width="15.63"/>
    <col customWidth="1" min="8" max="8" width="20.63"/>
    <col customWidth="1" min="9" max="9" width="20.5"/>
    <col customWidth="1" min="10" max="10" width="24.63"/>
    <col customWidth="1" min="11" max="11" width="24.88"/>
    <col customWidth="1" min="12" max="12" width="21.5"/>
    <col customWidth="1" min="13" max="13" width="13.38"/>
    <col customWidth="1" min="14" max="14" width="16.38"/>
    <col customWidth="1" min="15" max="15" width="19.75"/>
    <col customWidth="1" min="16" max="16" width="20.38"/>
    <col customWidth="1" min="17" max="17" width="15.38"/>
    <col customWidth="1" min="18" max="18" width="24.63"/>
    <col customWidth="1" min="21" max="21" width="11.13"/>
    <col customWidth="1" min="22" max="22" width="16.0"/>
    <col customWidth="1" min="23" max="23" width="24.63"/>
    <col customWidth="1" min="24" max="24" width="23.13"/>
    <col customWidth="1" min="25" max="25" width="24.38"/>
    <col customWidth="1" min="26" max="26" width="9.38"/>
    <col customWidth="1" min="27" max="27" width="9.88"/>
    <col customWidth="1" min="28" max="28" width="11.75"/>
    <col customWidth="1" min="29" max="29" width="15.25"/>
    <col customWidth="1" min="30" max="30" width="11.0"/>
    <col customWidth="1" min="31" max="31" width="10.75"/>
    <col customWidth="1" min="32" max="32" width="13.13"/>
    <col customWidth="1" min="33" max="33" width="14.38"/>
    <col customWidth="1" min="34" max="34" width="11.0"/>
    <col customWidth="1" min="35" max="35" width="42.38"/>
    <col customWidth="1" min="36" max="36" width="42.0"/>
    <col customWidth="1" min="37" max="37" width="23.13"/>
    <col customWidth="1" min="38" max="38" width="32.63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/>
      <c r="G1" s="6" t="s">
        <v>1</v>
      </c>
      <c r="H1" s="6" t="s">
        <v>0</v>
      </c>
      <c r="I1" s="6" t="s">
        <v>5</v>
      </c>
      <c r="J1" s="6" t="s">
        <v>6</v>
      </c>
      <c r="K1" s="6" t="s">
        <v>7</v>
      </c>
      <c r="L1" s="6" t="s">
        <v>8</v>
      </c>
      <c r="O1" s="6" t="s">
        <v>1</v>
      </c>
      <c r="P1" s="6" t="s">
        <v>9</v>
      </c>
      <c r="Q1" s="6" t="s">
        <v>5</v>
      </c>
      <c r="R1" s="6" t="s">
        <v>6</v>
      </c>
      <c r="S1" s="7" t="s">
        <v>2</v>
      </c>
      <c r="T1" s="6" t="s">
        <v>10</v>
      </c>
      <c r="U1" s="6" t="s">
        <v>11</v>
      </c>
      <c r="V1" s="6" t="s">
        <v>12</v>
      </c>
      <c r="W1" s="6" t="s">
        <v>13</v>
      </c>
      <c r="X1" s="5"/>
      <c r="Y1" s="8" t="s">
        <v>2</v>
      </c>
      <c r="Z1" s="9" t="s">
        <v>14</v>
      </c>
      <c r="AA1" s="10" t="s">
        <v>15</v>
      </c>
      <c r="AB1" s="4" t="s">
        <v>3</v>
      </c>
      <c r="AC1" s="3" t="s">
        <v>4</v>
      </c>
      <c r="AD1" s="4" t="s">
        <v>16</v>
      </c>
      <c r="AE1" s="4" t="s">
        <v>17</v>
      </c>
      <c r="AF1" s="4" t="s">
        <v>18</v>
      </c>
      <c r="AG1" s="4" t="s">
        <v>19</v>
      </c>
      <c r="AO1" s="5"/>
    </row>
    <row r="2" ht="22.5" customHeight="1">
      <c r="A2" s="11" t="s">
        <v>20</v>
      </c>
      <c r="B2" s="12" t="s">
        <v>21</v>
      </c>
      <c r="C2" s="13" t="s">
        <v>22</v>
      </c>
      <c r="D2" s="13" t="s">
        <v>23</v>
      </c>
      <c r="E2" s="13" t="s">
        <v>24</v>
      </c>
      <c r="F2" s="14"/>
      <c r="G2" s="13" t="s">
        <v>21</v>
      </c>
      <c r="H2" s="15">
        <v>741718.42</v>
      </c>
      <c r="I2" s="15">
        <v>18463.33</v>
      </c>
      <c r="J2" s="15">
        <v>0.04</v>
      </c>
      <c r="K2" s="16">
        <v>0.17</v>
      </c>
      <c r="L2" s="15">
        <v>2120.0</v>
      </c>
      <c r="O2" s="13" t="s">
        <v>21</v>
      </c>
      <c r="P2" s="13" t="s">
        <v>25</v>
      </c>
      <c r="Q2" s="15">
        <v>-3472.56</v>
      </c>
      <c r="R2" s="15">
        <v>-0.13</v>
      </c>
      <c r="T2" s="15">
        <v>2014.0</v>
      </c>
      <c r="U2" s="15" t="s">
        <v>26</v>
      </c>
      <c r="V2" s="15">
        <v>3811.23</v>
      </c>
      <c r="W2" s="15">
        <v>0.12</v>
      </c>
      <c r="Y2" s="17"/>
      <c r="Z2" s="12" t="s">
        <v>27</v>
      </c>
      <c r="AA2" s="18"/>
      <c r="AB2" s="13" t="s">
        <v>28</v>
      </c>
      <c r="AC2" s="18"/>
      <c r="AD2" s="13" t="s">
        <v>29</v>
      </c>
      <c r="AE2" s="19"/>
      <c r="AF2" s="13" t="s">
        <v>24</v>
      </c>
      <c r="AG2" s="20"/>
    </row>
    <row r="3" ht="22.5" customHeight="1">
      <c r="A3" s="11" t="s">
        <v>30</v>
      </c>
      <c r="B3" s="21">
        <v>163797.16</v>
      </c>
      <c r="C3" s="15">
        <v>167026.42</v>
      </c>
      <c r="D3" s="15">
        <v>170416.31</v>
      </c>
      <c r="E3" s="15">
        <v>501239.89</v>
      </c>
      <c r="F3" s="14"/>
      <c r="G3" s="13" t="s">
        <v>22</v>
      </c>
      <c r="H3" s="15">
        <v>719047.03</v>
      </c>
      <c r="I3" s="15">
        <v>122490.8</v>
      </c>
      <c r="J3" s="15">
        <v>0.14</v>
      </c>
      <c r="K3" s="16">
        <v>0.16</v>
      </c>
      <c r="L3" s="15">
        <v>6026.0</v>
      </c>
      <c r="O3" s="18"/>
      <c r="P3" s="13" t="s">
        <v>31</v>
      </c>
      <c r="Q3" s="15">
        <v>26602.23</v>
      </c>
      <c r="R3" s="15">
        <v>0.04</v>
      </c>
      <c r="U3" s="15" t="s">
        <v>32</v>
      </c>
      <c r="V3" s="15">
        <v>11216.13</v>
      </c>
      <c r="W3" s="15">
        <v>0.16</v>
      </c>
      <c r="Y3" s="11" t="s">
        <v>33</v>
      </c>
      <c r="Z3" s="12" t="s">
        <v>34</v>
      </c>
      <c r="AA3" s="13" t="s">
        <v>35</v>
      </c>
      <c r="AB3" s="13" t="s">
        <v>34</v>
      </c>
      <c r="AC3" s="13" t="s">
        <v>35</v>
      </c>
      <c r="AD3" s="13" t="s">
        <v>34</v>
      </c>
      <c r="AE3" s="13" t="s">
        <v>35</v>
      </c>
      <c r="AF3" s="13" t="s">
        <v>34</v>
      </c>
      <c r="AG3" s="22" t="s">
        <v>35</v>
      </c>
    </row>
    <row r="4" ht="22.5" customHeight="1">
      <c r="A4" s="11" t="s">
        <v>36</v>
      </c>
      <c r="B4" s="21">
        <v>208009.83</v>
      </c>
      <c r="C4" s="15">
        <v>205516.06</v>
      </c>
      <c r="D4" s="15">
        <v>264973.98</v>
      </c>
      <c r="E4" s="15">
        <v>678499.87</v>
      </c>
      <c r="F4" s="14"/>
      <c r="G4" s="13" t="s">
        <v>23</v>
      </c>
      <c r="H4" s="15">
        <v>836154.03</v>
      </c>
      <c r="I4" s="15">
        <v>145454.95</v>
      </c>
      <c r="J4" s="15">
        <v>0.16</v>
      </c>
      <c r="K4" s="16">
        <v>0.13</v>
      </c>
      <c r="L4" s="15">
        <v>1847.0</v>
      </c>
      <c r="O4" s="18"/>
      <c r="P4" s="13" t="s">
        <v>37</v>
      </c>
      <c r="Q4" s="15">
        <v>13059.14</v>
      </c>
      <c r="R4" s="15">
        <v>0.14</v>
      </c>
      <c r="U4" s="15" t="s">
        <v>38</v>
      </c>
      <c r="V4" s="15">
        <v>12804.72</v>
      </c>
      <c r="W4" s="15">
        <v>0.13</v>
      </c>
      <c r="Y4" s="11" t="s">
        <v>39</v>
      </c>
      <c r="Z4" s="21">
        <v>2.0</v>
      </c>
      <c r="AA4" s="15">
        <v>1537.0</v>
      </c>
      <c r="AB4" s="15">
        <v>4.0</v>
      </c>
      <c r="AC4" s="15">
        <v>1.0</v>
      </c>
      <c r="AD4" s="23"/>
      <c r="AE4" s="23"/>
      <c r="AF4" s="15">
        <v>2.0</v>
      </c>
      <c r="AG4" s="24">
        <v>1538.0</v>
      </c>
      <c r="AH4" s="14"/>
    </row>
    <row r="5" ht="22.5" customHeight="1">
      <c r="A5" s="11" t="s">
        <v>40</v>
      </c>
      <c r="B5" s="21">
        <v>117298.68</v>
      </c>
      <c r="C5" s="15">
        <v>125651.31</v>
      </c>
      <c r="D5" s="15">
        <v>148771.91</v>
      </c>
      <c r="E5" s="15">
        <v>391721.91</v>
      </c>
      <c r="F5" s="14"/>
      <c r="G5" s="13" t="s">
        <v>24</v>
      </c>
      <c r="H5" s="15">
        <v>2296919.49</v>
      </c>
      <c r="I5" s="15">
        <v>286409.08</v>
      </c>
      <c r="J5" s="15">
        <v>0.12</v>
      </c>
      <c r="K5" s="16">
        <v>0.16</v>
      </c>
      <c r="L5" s="15">
        <v>9993.0</v>
      </c>
      <c r="O5" s="18"/>
      <c r="P5" s="13" t="s">
        <v>41</v>
      </c>
      <c r="Q5" s="15">
        <v>-17725.48</v>
      </c>
      <c r="R5" s="15">
        <v>-0.15</v>
      </c>
      <c r="U5" s="15" t="s">
        <v>42</v>
      </c>
      <c r="V5" s="15">
        <v>21723.95</v>
      </c>
      <c r="W5" s="15">
        <v>0.09</v>
      </c>
      <c r="Y5" s="11" t="s">
        <v>43</v>
      </c>
      <c r="Z5" s="21">
        <v>0.0</v>
      </c>
      <c r="AA5" s="15">
        <v>543.0</v>
      </c>
      <c r="AB5" s="23"/>
      <c r="AD5" s="23"/>
      <c r="AE5" s="23"/>
      <c r="AF5" s="15">
        <v>0.0</v>
      </c>
      <c r="AG5" s="24">
        <v>543.0</v>
      </c>
    </row>
    <row r="6" ht="22.5" customHeight="1">
      <c r="A6" s="11" t="s">
        <v>44</v>
      </c>
      <c r="B6" s="21">
        <v>252612.74</v>
      </c>
      <c r="C6" s="15">
        <v>220853.25</v>
      </c>
      <c r="D6" s="15">
        <v>251991.83</v>
      </c>
      <c r="E6" s="15">
        <v>725457.82</v>
      </c>
      <c r="F6" s="14"/>
      <c r="G6" s="14"/>
      <c r="O6" s="13" t="s">
        <v>45</v>
      </c>
      <c r="P6" s="18"/>
      <c r="Q6" s="15">
        <v>18463.33</v>
      </c>
      <c r="R6" s="15">
        <v>0.04</v>
      </c>
      <c r="T6" s="15" t="s">
        <v>46</v>
      </c>
      <c r="V6" s="15">
        <v>49556.03</v>
      </c>
      <c r="W6" s="15">
        <v>0.12</v>
      </c>
      <c r="Y6" s="11" t="s">
        <v>47</v>
      </c>
      <c r="Z6" s="21">
        <v>2.0</v>
      </c>
      <c r="AA6" s="15">
        <v>1145.0</v>
      </c>
      <c r="AB6" s="15">
        <v>5.0</v>
      </c>
      <c r="AC6" s="15">
        <v>800.0</v>
      </c>
      <c r="AD6" s="23"/>
      <c r="AE6" s="23"/>
      <c r="AF6" s="15">
        <v>3.0</v>
      </c>
      <c r="AG6" s="24">
        <v>1945.0</v>
      </c>
    </row>
    <row r="7" ht="22.5" customHeight="1">
      <c r="A7" s="25"/>
      <c r="B7" s="25"/>
      <c r="F7" s="14"/>
      <c r="G7" s="14"/>
      <c r="O7" s="13" t="s">
        <v>22</v>
      </c>
      <c r="P7" s="13" t="s">
        <v>48</v>
      </c>
      <c r="Q7" s="15">
        <v>18138.01</v>
      </c>
      <c r="R7" s="15">
        <v>-0.16</v>
      </c>
      <c r="T7" s="15">
        <v>2015.0</v>
      </c>
      <c r="U7" s="15" t="s">
        <v>26</v>
      </c>
      <c r="V7" s="15">
        <v>9264.94</v>
      </c>
      <c r="W7" s="15">
        <v>0.15</v>
      </c>
      <c r="Y7" s="11" t="s">
        <v>49</v>
      </c>
      <c r="Z7" s="21">
        <v>3.0</v>
      </c>
      <c r="AA7" s="15">
        <v>2.0</v>
      </c>
      <c r="AB7" s="15">
        <v>5.0</v>
      </c>
      <c r="AC7" s="15">
        <v>5344.0</v>
      </c>
      <c r="AD7" s="15">
        <v>7.0</v>
      </c>
      <c r="AE7" s="15">
        <v>621.0</v>
      </c>
      <c r="AF7" s="15">
        <v>5.0</v>
      </c>
      <c r="AG7" s="24">
        <v>5967.0</v>
      </c>
    </row>
    <row r="8" ht="22.5" customHeight="1">
      <c r="F8" s="14"/>
      <c r="G8" s="6" t="s">
        <v>0</v>
      </c>
      <c r="H8" s="6" t="s">
        <v>20</v>
      </c>
      <c r="I8" s="26" t="s">
        <v>2</v>
      </c>
      <c r="J8" s="27" t="s">
        <v>3</v>
      </c>
      <c r="K8" s="27" t="s">
        <v>4</v>
      </c>
      <c r="L8" s="26" t="s">
        <v>16</v>
      </c>
      <c r="O8" s="18"/>
      <c r="P8" s="13" t="s">
        <v>50</v>
      </c>
      <c r="Q8" s="15">
        <v>6527.79</v>
      </c>
      <c r="R8" s="15">
        <v>0.25</v>
      </c>
      <c r="U8" s="15" t="s">
        <v>32</v>
      </c>
      <c r="V8" s="15">
        <v>12190.92</v>
      </c>
      <c r="W8" s="15">
        <v>0.09</v>
      </c>
      <c r="Y8" s="11" t="s">
        <v>24</v>
      </c>
      <c r="Z8" s="21">
        <v>2.0</v>
      </c>
      <c r="AA8" s="15">
        <v>3227.0</v>
      </c>
      <c r="AB8" s="15">
        <v>5.0</v>
      </c>
      <c r="AC8" s="15">
        <v>6145.0</v>
      </c>
      <c r="AD8" s="15">
        <v>7.0</v>
      </c>
      <c r="AE8" s="15">
        <v>621.0</v>
      </c>
      <c r="AF8" s="15">
        <v>4.0</v>
      </c>
      <c r="AG8" s="24">
        <v>9993.0</v>
      </c>
    </row>
    <row r="9" ht="22.5" customHeight="1">
      <c r="F9" s="14"/>
      <c r="G9" s="13" t="s">
        <v>51</v>
      </c>
      <c r="H9" s="13" t="s">
        <v>30</v>
      </c>
      <c r="I9" s="28" t="s">
        <v>36</v>
      </c>
      <c r="J9" s="29" t="s">
        <v>40</v>
      </c>
      <c r="K9" s="29" t="s">
        <v>44</v>
      </c>
      <c r="L9" s="28" t="s">
        <v>24</v>
      </c>
      <c r="O9" s="18"/>
      <c r="P9" s="13" t="s">
        <v>52</v>
      </c>
      <c r="Q9" s="15">
        <v>30221.76</v>
      </c>
      <c r="R9" s="15">
        <v>-0.2</v>
      </c>
      <c r="U9" s="15" t="s">
        <v>38</v>
      </c>
      <c r="V9" s="15">
        <v>16853.62</v>
      </c>
      <c r="W9" s="15">
        <v>0.12</v>
      </c>
    </row>
    <row r="10" ht="22.5" customHeight="1">
      <c r="A10" s="6" t="s">
        <v>1</v>
      </c>
      <c r="B10" s="6" t="s">
        <v>9</v>
      </c>
      <c r="C10" s="6" t="s">
        <v>0</v>
      </c>
      <c r="D10" s="6" t="s">
        <v>53</v>
      </c>
      <c r="G10" s="13" t="s">
        <v>54</v>
      </c>
      <c r="H10" s="15">
        <v>252031.43</v>
      </c>
      <c r="I10" s="30">
        <v>350908.17</v>
      </c>
      <c r="J10" s="31">
        <v>195580.97</v>
      </c>
      <c r="K10" s="31">
        <v>362880.77</v>
      </c>
      <c r="L10" s="30">
        <v>1161401.34</v>
      </c>
      <c r="O10" s="18"/>
      <c r="P10" s="13" t="s">
        <v>55</v>
      </c>
      <c r="Q10" s="15">
        <v>6964.18</v>
      </c>
      <c r="R10" s="15">
        <v>0.42</v>
      </c>
      <c r="U10" s="15" t="s">
        <v>42</v>
      </c>
      <c r="V10" s="15">
        <v>23309.12</v>
      </c>
      <c r="W10" s="15">
        <v>0.12</v>
      </c>
    </row>
    <row r="11" ht="22.5" customHeight="1">
      <c r="A11" s="13" t="s">
        <v>21</v>
      </c>
      <c r="B11" s="13" t="s">
        <v>25</v>
      </c>
      <c r="C11" s="15">
        <v>114880.0</v>
      </c>
      <c r="D11" s="15">
        <v>868.0</v>
      </c>
      <c r="G11" s="13" t="s">
        <v>56</v>
      </c>
      <c r="H11" s="15">
        <v>157995.81</v>
      </c>
      <c r="I11" s="30">
        <v>200409.35</v>
      </c>
      <c r="J11" s="31">
        <v>121885.93</v>
      </c>
      <c r="K11" s="31">
        <v>225855.27</v>
      </c>
      <c r="L11" s="30">
        <v>706146.37</v>
      </c>
      <c r="O11" s="18"/>
      <c r="P11" s="13" t="s">
        <v>57</v>
      </c>
      <c r="Q11" s="15">
        <v>949.52</v>
      </c>
      <c r="R11" s="15">
        <v>0.3</v>
      </c>
      <c r="T11" s="15" t="s">
        <v>58</v>
      </c>
      <c r="V11" s="15">
        <v>61618.6</v>
      </c>
      <c r="W11" s="15">
        <v>0.12</v>
      </c>
      <c r="Y11" s="32" t="s">
        <v>2</v>
      </c>
      <c r="Z11" s="26" t="s">
        <v>59</v>
      </c>
      <c r="AA11" s="26" t="s">
        <v>15</v>
      </c>
      <c r="AB11" s="3" t="s">
        <v>3</v>
      </c>
      <c r="AC11" s="3" t="s">
        <v>4</v>
      </c>
      <c r="AD11" s="26" t="s">
        <v>16</v>
      </c>
      <c r="AE11" s="27" t="s">
        <v>17</v>
      </c>
      <c r="AF11" s="26" t="s">
        <v>18</v>
      </c>
      <c r="AG11" s="26" t="s">
        <v>19</v>
      </c>
      <c r="AH11" s="3" t="s">
        <v>60</v>
      </c>
    </row>
    <row r="12" ht="22.5" customHeight="1">
      <c r="A12" s="18"/>
      <c r="B12" s="13" t="s">
        <v>31</v>
      </c>
      <c r="C12" s="15">
        <v>328167.73</v>
      </c>
      <c r="D12" s="15">
        <v>2354.0</v>
      </c>
      <c r="G12" s="13" t="s">
        <v>61</v>
      </c>
      <c r="H12" s="15">
        <v>91212.64</v>
      </c>
      <c r="I12" s="30">
        <v>127182.35</v>
      </c>
      <c r="J12" s="31">
        <v>74255.0</v>
      </c>
      <c r="K12" s="31">
        <v>136721.78</v>
      </c>
      <c r="L12" s="30">
        <v>429371.78</v>
      </c>
      <c r="O12" s="18"/>
      <c r="P12" s="13" t="s">
        <v>62</v>
      </c>
      <c r="Q12" s="15">
        <v>5546.25</v>
      </c>
      <c r="R12" s="15">
        <v>0.43</v>
      </c>
      <c r="T12" s="15">
        <v>2016.0</v>
      </c>
      <c r="U12" s="15" t="s">
        <v>26</v>
      </c>
      <c r="V12" s="15">
        <v>11441.37</v>
      </c>
      <c r="W12" s="15">
        <v>0.12</v>
      </c>
      <c r="Y12" s="33"/>
      <c r="Z12" s="28" t="s">
        <v>63</v>
      </c>
      <c r="AA12" s="34"/>
      <c r="AB12" s="18"/>
      <c r="AC12" s="13" t="s">
        <v>64</v>
      </c>
      <c r="AD12" s="34"/>
      <c r="AE12" s="35"/>
      <c r="AF12" s="28" t="s">
        <v>24</v>
      </c>
      <c r="AG12" s="34"/>
      <c r="AH12" s="18"/>
    </row>
    <row r="13" ht="22.5" customHeight="1">
      <c r="A13" s="18"/>
      <c r="B13" s="13" t="s">
        <v>37</v>
      </c>
      <c r="C13" s="15">
        <v>91705.16</v>
      </c>
      <c r="D13" s="15">
        <v>3563.0</v>
      </c>
      <c r="G13" s="13" t="s">
        <v>24</v>
      </c>
      <c r="H13" s="15" t="s">
        <v>65</v>
      </c>
      <c r="I13" s="36">
        <f>SUM(Table4[Column 1])</f>
        <v>678499.87</v>
      </c>
      <c r="J13" s="36">
        <f>SUM(Table4[Column 2])</f>
        <v>391721.9</v>
      </c>
      <c r="K13" s="36">
        <f>SUM(Table4[Column 3])</f>
        <v>725457.82</v>
      </c>
      <c r="L13" s="36">
        <f>SUM(Table4[Column 4])</f>
        <v>2296919.49</v>
      </c>
      <c r="O13" s="18"/>
      <c r="P13" s="13" t="s">
        <v>66</v>
      </c>
      <c r="Q13" s="15">
        <v>34053.57</v>
      </c>
      <c r="R13" s="15">
        <v>0.43</v>
      </c>
      <c r="U13" s="15" t="s">
        <v>32</v>
      </c>
      <c r="V13" s="15">
        <v>16390.34</v>
      </c>
      <c r="W13" s="15">
        <v>0.12</v>
      </c>
      <c r="Y13" s="13" t="s">
        <v>9</v>
      </c>
      <c r="Z13" s="28" t="s">
        <v>7</v>
      </c>
      <c r="AA13" s="28" t="s">
        <v>6</v>
      </c>
      <c r="AB13" s="13" t="s">
        <v>67</v>
      </c>
      <c r="AC13" s="13" t="s">
        <v>7</v>
      </c>
      <c r="AD13" s="28" t="s">
        <v>6</v>
      </c>
      <c r="AE13" s="29" t="s">
        <v>67</v>
      </c>
      <c r="AF13" s="28" t="s">
        <v>7</v>
      </c>
      <c r="AG13" s="28" t="s">
        <v>6</v>
      </c>
      <c r="AH13" s="13" t="s">
        <v>67</v>
      </c>
    </row>
    <row r="14" ht="22.5" customHeight="1">
      <c r="A14" s="18"/>
      <c r="B14" s="13" t="s">
        <v>41</v>
      </c>
      <c r="C14" s="15">
        <v>206965.53</v>
      </c>
      <c r="D14" s="15">
        <v>1241.0</v>
      </c>
      <c r="G14" s="14"/>
      <c r="H14" s="14"/>
      <c r="O14" s="18"/>
      <c r="P14" s="13" t="s">
        <v>68</v>
      </c>
      <c r="Q14" s="15">
        <v>21278.83</v>
      </c>
      <c r="R14" s="15">
        <v>0.09</v>
      </c>
      <c r="U14" s="15" t="s">
        <v>38</v>
      </c>
      <c r="V14" s="15">
        <v>15823.6</v>
      </c>
      <c r="W14" s="15">
        <v>0.13</v>
      </c>
      <c r="Y14" s="13" t="s">
        <v>69</v>
      </c>
      <c r="Z14" s="16">
        <v>0.2</v>
      </c>
      <c r="AA14" s="30">
        <v>-0.09</v>
      </c>
      <c r="AB14" s="15">
        <v>91.0</v>
      </c>
      <c r="AC14" s="16">
        <v>0.06</v>
      </c>
      <c r="AD14" s="30">
        <v>0.26</v>
      </c>
      <c r="AE14" s="31">
        <v>684.0</v>
      </c>
      <c r="AF14" s="16">
        <v>0.08</v>
      </c>
      <c r="AG14" s="30">
        <v>0.22</v>
      </c>
      <c r="AH14" s="15">
        <v>775.0</v>
      </c>
    </row>
    <row r="15" ht="22.5" customHeight="1">
      <c r="A15" s="13" t="s">
        <v>45</v>
      </c>
      <c r="B15" s="18"/>
      <c r="C15" s="15">
        <v>741718.42</v>
      </c>
      <c r="D15" s="15">
        <v>8026.0</v>
      </c>
      <c r="G15" s="14"/>
      <c r="H15" s="14"/>
      <c r="O15" s="18"/>
      <c r="P15" s="13" t="s">
        <v>70</v>
      </c>
      <c r="Q15" s="15">
        <v>-1189.1</v>
      </c>
      <c r="R15" s="15">
        <v>0.11</v>
      </c>
      <c r="U15" s="15" t="s">
        <v>42</v>
      </c>
      <c r="V15" s="15">
        <v>38139.86</v>
      </c>
      <c r="W15" s="15">
        <v>0.14</v>
      </c>
      <c r="Y15" s="13" t="s">
        <v>48</v>
      </c>
      <c r="Z15" s="16">
        <v>0.8</v>
      </c>
      <c r="AA15" s="30">
        <v>-2.53</v>
      </c>
      <c r="AB15" s="15">
        <v>67.0</v>
      </c>
      <c r="AC15" s="16">
        <v>0.06</v>
      </c>
      <c r="AD15" s="30">
        <v>0.24</v>
      </c>
      <c r="AE15" s="31">
        <v>399.0</v>
      </c>
      <c r="AF15" s="16">
        <v>0.17</v>
      </c>
      <c r="AG15" s="30">
        <v>-0.16</v>
      </c>
      <c r="AH15" s="15">
        <v>466.0</v>
      </c>
    </row>
    <row r="16" ht="22.5" customHeight="1">
      <c r="A16" s="13" t="s">
        <v>22</v>
      </c>
      <c r="B16" s="13" t="s">
        <v>48</v>
      </c>
      <c r="C16" s="15">
        <v>107532.16</v>
      </c>
      <c r="D16" s="15">
        <v>1729.0</v>
      </c>
      <c r="G16" s="6" t="s">
        <v>0</v>
      </c>
      <c r="H16" s="6" t="s">
        <v>11</v>
      </c>
      <c r="I16" s="3" t="s">
        <v>2</v>
      </c>
      <c r="J16" s="3" t="s">
        <v>3</v>
      </c>
      <c r="K16" s="3" t="s">
        <v>4</v>
      </c>
      <c r="L16" s="37"/>
      <c r="O16" s="13" t="s">
        <v>71</v>
      </c>
      <c r="P16" s="18"/>
      <c r="Q16" s="15">
        <v>122490.8</v>
      </c>
      <c r="R16" s="15">
        <v>0.14</v>
      </c>
      <c r="T16" s="15" t="s">
        <v>72</v>
      </c>
      <c r="V16" s="15">
        <v>81795.17</v>
      </c>
      <c r="W16" s="15">
        <v>0.13</v>
      </c>
      <c r="Y16" s="13" t="s">
        <v>50</v>
      </c>
      <c r="Z16" s="38"/>
      <c r="AA16" s="38"/>
      <c r="AC16" s="16">
        <v>0.07</v>
      </c>
      <c r="AD16" s="30">
        <v>0.25</v>
      </c>
      <c r="AE16" s="31">
        <v>796.0</v>
      </c>
      <c r="AF16" s="16">
        <v>0.07</v>
      </c>
      <c r="AG16" s="30">
        <v>0.25</v>
      </c>
      <c r="AH16" s="15">
        <v>796.0</v>
      </c>
    </row>
    <row r="17" ht="22.5" customHeight="1">
      <c r="A17" s="18"/>
      <c r="B17" s="13" t="s">
        <v>50</v>
      </c>
      <c r="C17" s="15">
        <v>27118.79</v>
      </c>
      <c r="D17" s="15">
        <v>3000.0</v>
      </c>
      <c r="G17" s="13" t="s">
        <v>20</v>
      </c>
      <c r="H17" s="13" t="s">
        <v>26</v>
      </c>
      <c r="I17" s="13" t="s">
        <v>32</v>
      </c>
      <c r="J17" s="13" t="s">
        <v>38</v>
      </c>
      <c r="K17" s="13" t="s">
        <v>42</v>
      </c>
      <c r="L17" s="37"/>
      <c r="O17" s="13" t="s">
        <v>23</v>
      </c>
      <c r="P17" s="13" t="s">
        <v>69</v>
      </c>
      <c r="Q17" s="15">
        <v>41936.64</v>
      </c>
      <c r="R17" s="15">
        <v>0.22</v>
      </c>
      <c r="T17" s="15">
        <v>2017.0</v>
      </c>
      <c r="U17" s="15" t="s">
        <v>26</v>
      </c>
      <c r="V17" s="15">
        <v>23506.2</v>
      </c>
      <c r="W17" s="15">
        <v>0.11</v>
      </c>
      <c r="Y17" s="13" t="s">
        <v>52</v>
      </c>
      <c r="Z17" s="16">
        <v>0.74</v>
      </c>
      <c r="AA17" s="30">
        <v>-1.08</v>
      </c>
      <c r="AB17" s="15">
        <v>613.0</v>
      </c>
      <c r="AC17" s="16">
        <v>0.13</v>
      </c>
      <c r="AD17" s="30">
        <v>0.39</v>
      </c>
      <c r="AE17" s="31">
        <v>910.0</v>
      </c>
      <c r="AF17" s="16">
        <v>0.37</v>
      </c>
      <c r="AG17" s="30">
        <v>-0.2</v>
      </c>
      <c r="AH17" s="15">
        <v>1523.0</v>
      </c>
    </row>
    <row r="18" ht="22.5" customHeight="1">
      <c r="A18" s="18"/>
      <c r="B18" s="13" t="s">
        <v>52</v>
      </c>
      <c r="C18" s="15">
        <v>203412.73</v>
      </c>
      <c r="D18" s="15">
        <v>5974.0</v>
      </c>
      <c r="G18" s="13" t="s">
        <v>30</v>
      </c>
      <c r="H18" s="15">
        <v>81110.8</v>
      </c>
      <c r="I18" s="15">
        <v>95084.49</v>
      </c>
      <c r="J18" s="15">
        <v>134506.16</v>
      </c>
      <c r="K18" s="15">
        <v>190538.44</v>
      </c>
      <c r="L18" s="37"/>
      <c r="O18" s="18"/>
      <c r="P18" s="13" t="s">
        <v>73</v>
      </c>
      <c r="Q18" s="15">
        <v>55617.82</v>
      </c>
      <c r="R18" s="15">
        <v>0.32</v>
      </c>
      <c r="U18" s="15" t="s">
        <v>32</v>
      </c>
      <c r="V18" s="15">
        <v>15499.21</v>
      </c>
      <c r="W18" s="15">
        <v>0.08</v>
      </c>
      <c r="Y18" s="13" t="s">
        <v>25</v>
      </c>
      <c r="Z18" s="16">
        <v>0.35</v>
      </c>
      <c r="AA18" s="30">
        <v>-0.41</v>
      </c>
      <c r="AB18" s="15">
        <v>109.0</v>
      </c>
      <c r="AC18" s="16">
        <v>0.09</v>
      </c>
      <c r="AD18" s="30">
        <v>0.13</v>
      </c>
      <c r="AE18" s="31">
        <v>119.0</v>
      </c>
      <c r="AF18" s="16">
        <v>0.21</v>
      </c>
      <c r="AG18" s="30">
        <v>-0.13</v>
      </c>
      <c r="AH18" s="15">
        <v>228.0</v>
      </c>
      <c r="AI18" s="39"/>
    </row>
    <row r="19" ht="22.5" customHeight="1">
      <c r="A19" s="18"/>
      <c r="B19" s="13" t="s">
        <v>55</v>
      </c>
      <c r="C19" s="15">
        <v>16476.4</v>
      </c>
      <c r="D19" s="15">
        <v>906.0</v>
      </c>
      <c r="G19" s="13" t="s">
        <v>36</v>
      </c>
      <c r="H19" s="15">
        <v>66551.73</v>
      </c>
      <c r="I19" s="15">
        <v>127164.16</v>
      </c>
      <c r="J19" s="15">
        <v>187768.84</v>
      </c>
      <c r="K19" s="15">
        <v>297015.14</v>
      </c>
      <c r="L19" s="37"/>
      <c r="O19" s="18"/>
      <c r="P19" s="13" t="s">
        <v>74</v>
      </c>
      <c r="Q19" s="15">
        <v>3384.76</v>
      </c>
      <c r="R19" s="15">
        <v>-0.07</v>
      </c>
      <c r="U19" s="15" t="s">
        <v>38</v>
      </c>
      <c r="V19" s="15">
        <v>26985.13</v>
      </c>
      <c r="W19" s="15">
        <v>0.15</v>
      </c>
      <c r="Y19" s="13" t="s">
        <v>31</v>
      </c>
      <c r="Z19" s="16">
        <v>0.26</v>
      </c>
      <c r="AA19" s="30">
        <v>-0.12</v>
      </c>
      <c r="AB19" s="15">
        <v>234.0</v>
      </c>
      <c r="AC19" s="16">
        <v>0.11</v>
      </c>
      <c r="AD19" s="30">
        <v>0.14</v>
      </c>
      <c r="AE19" s="31">
        <v>382.0</v>
      </c>
      <c r="AF19" s="16">
        <v>0.17</v>
      </c>
      <c r="AG19" s="30">
        <v>0.04</v>
      </c>
      <c r="AH19" s="15">
        <v>616.0</v>
      </c>
      <c r="AI19" s="39"/>
    </row>
    <row r="20" ht="22.5" customHeight="1">
      <c r="A20" s="18"/>
      <c r="B20" s="13" t="s">
        <v>57</v>
      </c>
      <c r="C20" s="15">
        <v>3024.28</v>
      </c>
      <c r="D20" s="15">
        <v>914.0</v>
      </c>
      <c r="G20" s="13" t="s">
        <v>40</v>
      </c>
      <c r="H20" s="15">
        <v>98282.53</v>
      </c>
      <c r="I20" s="15">
        <v>86485.55</v>
      </c>
      <c r="J20" s="15">
        <v>83030.6</v>
      </c>
      <c r="K20" s="15">
        <v>123923.23</v>
      </c>
      <c r="L20" s="37"/>
      <c r="O20" s="18"/>
      <c r="P20" s="13" t="s">
        <v>75</v>
      </c>
      <c r="Q20" s="15">
        <v>44515.73</v>
      </c>
      <c r="R20" s="15">
        <v>0.12</v>
      </c>
      <c r="U20" s="15" t="s">
        <v>42</v>
      </c>
      <c r="V20" s="15">
        <v>27448.73</v>
      </c>
      <c r="W20" s="15">
        <v>0.11</v>
      </c>
      <c r="Y20" s="13" t="s">
        <v>73</v>
      </c>
      <c r="Z20" s="38"/>
      <c r="AA20" s="38"/>
      <c r="AC20" s="16">
        <v>0.16</v>
      </c>
      <c r="AD20" s="30">
        <v>0.32</v>
      </c>
      <c r="AE20" s="31">
        <v>68.0</v>
      </c>
      <c r="AF20" s="16">
        <v>0.16</v>
      </c>
      <c r="AG20" s="30">
        <v>0.32</v>
      </c>
      <c r="AH20" s="15">
        <v>68.0</v>
      </c>
      <c r="AI20" s="39"/>
    </row>
    <row r="21" ht="22.5" customHeight="1">
      <c r="A21" s="18"/>
      <c r="B21" s="13" t="s">
        <v>62</v>
      </c>
      <c r="C21" s="15">
        <v>12486.31</v>
      </c>
      <c r="D21" s="15">
        <v>1400.0</v>
      </c>
      <c r="G21" s="13" t="s">
        <v>44</v>
      </c>
      <c r="H21" s="15">
        <v>113736.51</v>
      </c>
      <c r="I21" s="15">
        <v>136494.05</v>
      </c>
      <c r="J21" s="15">
        <v>208626.51</v>
      </c>
      <c r="K21" s="15">
        <v>266600.75</v>
      </c>
      <c r="L21" s="37"/>
      <c r="O21" s="13" t="s">
        <v>76</v>
      </c>
      <c r="P21" s="18"/>
      <c r="Q21" s="15">
        <v>145454.95</v>
      </c>
      <c r="R21" s="15">
        <v>0.16</v>
      </c>
      <c r="T21" s="15" t="s">
        <v>77</v>
      </c>
      <c r="V21" s="15">
        <v>93439.27</v>
      </c>
      <c r="W21" s="15">
        <v>0.12</v>
      </c>
      <c r="Y21" s="13" t="s">
        <v>55</v>
      </c>
      <c r="Z21" s="38"/>
      <c r="AA21" s="38"/>
      <c r="AC21" s="16">
        <v>0.08</v>
      </c>
      <c r="AD21" s="30">
        <v>0.42</v>
      </c>
      <c r="AE21" s="31">
        <v>254.0</v>
      </c>
      <c r="AF21" s="16">
        <v>0.08</v>
      </c>
      <c r="AG21" s="30">
        <v>0.42</v>
      </c>
      <c r="AH21" s="15">
        <v>254.0</v>
      </c>
      <c r="AI21" s="39"/>
    </row>
    <row r="22" ht="22.5" customHeight="1">
      <c r="A22" s="18"/>
      <c r="B22" s="13" t="s">
        <v>66</v>
      </c>
      <c r="C22" s="15">
        <v>78479.21</v>
      </c>
      <c r="D22" s="15">
        <v>5178.0</v>
      </c>
      <c r="G22" s="13" t="s">
        <v>24</v>
      </c>
      <c r="H22" s="15" t="s">
        <v>78</v>
      </c>
      <c r="I22" s="15" t="s">
        <v>79</v>
      </c>
      <c r="J22" s="15" t="s">
        <v>80</v>
      </c>
      <c r="K22" s="15" t="s">
        <v>81</v>
      </c>
      <c r="O22" s="13" t="s">
        <v>24</v>
      </c>
      <c r="P22" s="18"/>
      <c r="Q22" s="15">
        <v>286409.08</v>
      </c>
      <c r="R22" s="15">
        <v>0.12</v>
      </c>
      <c r="T22" s="15" t="s">
        <v>24</v>
      </c>
      <c r="V22" s="15">
        <v>286409.08</v>
      </c>
      <c r="W22" s="15">
        <v>0.12</v>
      </c>
      <c r="Y22" s="13" t="s">
        <v>57</v>
      </c>
      <c r="Z22" s="16">
        <v>0.2</v>
      </c>
      <c r="AA22" s="30">
        <v>-0.22</v>
      </c>
      <c r="AB22" s="15">
        <v>12.0</v>
      </c>
      <c r="AC22" s="16">
        <v>0.08</v>
      </c>
      <c r="AD22" s="30">
        <v>0.33</v>
      </c>
      <c r="AE22" s="31">
        <v>205.0</v>
      </c>
      <c r="AF22" s="16">
        <v>0.08</v>
      </c>
      <c r="AG22" s="30">
        <v>0.3</v>
      </c>
      <c r="AH22" s="15">
        <v>217.0</v>
      </c>
      <c r="AI22" s="39"/>
    </row>
    <row r="23" ht="22.5" customHeight="1">
      <c r="A23" s="18"/>
      <c r="B23" s="13" t="s">
        <v>68</v>
      </c>
      <c r="C23" s="15">
        <v>223843.61</v>
      </c>
      <c r="D23" s="15">
        <v>3158.0</v>
      </c>
      <c r="Y23" s="13" t="s">
        <v>37</v>
      </c>
      <c r="Z23" s="16">
        <v>0.53</v>
      </c>
      <c r="AA23" s="30">
        <v>-0.58</v>
      </c>
      <c r="AB23" s="15">
        <v>167.0</v>
      </c>
      <c r="AC23" s="16">
        <v>0.06</v>
      </c>
      <c r="AD23" s="30">
        <v>0.29</v>
      </c>
      <c r="AE23" s="31">
        <v>790.0</v>
      </c>
      <c r="AF23" s="16">
        <v>0.14</v>
      </c>
      <c r="AG23" s="30">
        <v>0.14</v>
      </c>
      <c r="AH23" s="15">
        <v>957.0</v>
      </c>
      <c r="AI23" s="39"/>
    </row>
    <row r="24" ht="22.5" customHeight="1">
      <c r="A24" s="18"/>
      <c r="B24" s="13" t="s">
        <v>70</v>
      </c>
      <c r="C24" s="15">
        <v>46673.54</v>
      </c>
      <c r="D24" s="15">
        <v>647.0</v>
      </c>
      <c r="Y24" s="13" t="s">
        <v>62</v>
      </c>
      <c r="Z24" s="38"/>
      <c r="AA24" s="38"/>
      <c r="AC24" s="16">
        <v>0.07</v>
      </c>
      <c r="AD24" s="30">
        <v>0.43</v>
      </c>
      <c r="AE24" s="31">
        <v>364.0</v>
      </c>
      <c r="AF24" s="16">
        <v>0.07</v>
      </c>
      <c r="AG24" s="30">
        <v>0.43</v>
      </c>
      <c r="AH24" s="15">
        <v>364.0</v>
      </c>
    </row>
    <row r="25" ht="22.5" customHeight="1">
      <c r="A25" s="13" t="s">
        <v>71</v>
      </c>
      <c r="B25" s="18"/>
      <c r="C25" s="15">
        <v>719047.03</v>
      </c>
      <c r="D25" s="15">
        <v>22906.0</v>
      </c>
      <c r="N25" s="39"/>
      <c r="O25" s="40" t="s">
        <v>2</v>
      </c>
      <c r="P25" s="10" t="s">
        <v>1</v>
      </c>
      <c r="Q25" s="10" t="s">
        <v>15</v>
      </c>
      <c r="R25" s="3" t="s">
        <v>3</v>
      </c>
      <c r="S25" s="3" t="s">
        <v>4</v>
      </c>
      <c r="T25" s="3" t="s">
        <v>16</v>
      </c>
      <c r="U25" s="3" t="s">
        <v>17</v>
      </c>
      <c r="V25" s="3" t="s">
        <v>18</v>
      </c>
      <c r="W25" s="3" t="s">
        <v>19</v>
      </c>
      <c r="Y25" s="13" t="s">
        <v>74</v>
      </c>
      <c r="Z25" s="16">
        <v>0.58</v>
      </c>
      <c r="AA25" s="30">
        <v>-0.64</v>
      </c>
      <c r="AB25" s="15">
        <v>44.0</v>
      </c>
      <c r="AC25" s="16">
        <v>0.14</v>
      </c>
      <c r="AD25" s="30">
        <v>0.28</v>
      </c>
      <c r="AE25" s="31">
        <v>71.0</v>
      </c>
      <c r="AF25" s="16">
        <v>0.31</v>
      </c>
      <c r="AG25" s="30">
        <v>-0.07</v>
      </c>
      <c r="AH25" s="15">
        <v>115.0</v>
      </c>
    </row>
    <row r="26" ht="22.5" customHeight="1">
      <c r="A26" s="13" t="s">
        <v>23</v>
      </c>
      <c r="B26" s="13" t="s">
        <v>69</v>
      </c>
      <c r="C26" s="15">
        <v>167380.32</v>
      </c>
      <c r="D26" s="15">
        <v>2976.0</v>
      </c>
      <c r="O26" s="41"/>
      <c r="P26" s="13" t="s">
        <v>21</v>
      </c>
      <c r="Q26" s="18"/>
      <c r="R26" s="13" t="s">
        <v>22</v>
      </c>
      <c r="S26" s="18"/>
      <c r="T26" s="13" t="s">
        <v>23</v>
      </c>
      <c r="U26" s="18"/>
      <c r="V26" s="13" t="s">
        <v>24</v>
      </c>
      <c r="W26" s="18"/>
      <c r="Y26" s="13" t="s">
        <v>66</v>
      </c>
      <c r="Z26" s="38"/>
      <c r="AA26" s="38"/>
      <c r="AC26" s="16">
        <v>0.07</v>
      </c>
      <c r="AD26" s="30">
        <v>0.43</v>
      </c>
      <c r="AE26" s="31">
        <v>1370.0</v>
      </c>
      <c r="AF26" s="16">
        <v>0.07</v>
      </c>
      <c r="AG26" s="30">
        <v>0.43</v>
      </c>
      <c r="AH26" s="15">
        <v>1370.0</v>
      </c>
    </row>
    <row r="27" ht="22.5" customHeight="1">
      <c r="A27" s="18"/>
      <c r="B27" s="13" t="s">
        <v>73</v>
      </c>
      <c r="C27" s="15">
        <v>149528.03</v>
      </c>
      <c r="D27" s="15">
        <v>234.0</v>
      </c>
      <c r="O27" s="22" t="s">
        <v>82</v>
      </c>
      <c r="P27" s="13" t="s">
        <v>5</v>
      </c>
      <c r="Q27" s="13" t="s">
        <v>6</v>
      </c>
      <c r="R27" s="13" t="s">
        <v>5</v>
      </c>
      <c r="S27" s="13" t="s">
        <v>6</v>
      </c>
      <c r="T27" s="13" t="s">
        <v>5</v>
      </c>
      <c r="U27" s="13" t="s">
        <v>6</v>
      </c>
      <c r="V27" s="13" t="s">
        <v>5</v>
      </c>
      <c r="W27" s="13" t="s">
        <v>6</v>
      </c>
      <c r="Y27" s="13" t="s">
        <v>75</v>
      </c>
      <c r="Z27" s="16">
        <v>0.34</v>
      </c>
      <c r="AA27" s="30">
        <v>-0.23</v>
      </c>
      <c r="AB27" s="15">
        <v>136.0</v>
      </c>
      <c r="AC27" s="16">
        <v>0.12</v>
      </c>
      <c r="AD27" s="30">
        <v>0.18</v>
      </c>
      <c r="AE27" s="31">
        <v>753.0</v>
      </c>
      <c r="AF27" s="16">
        <v>0.15</v>
      </c>
      <c r="AG27" s="30">
        <v>0.12</v>
      </c>
      <c r="AH27" s="15">
        <v>889.0</v>
      </c>
    </row>
    <row r="28" ht="22.5" customHeight="1">
      <c r="A28" s="18"/>
      <c r="B28" s="13" t="s">
        <v>74</v>
      </c>
      <c r="C28" s="15">
        <v>189238.63</v>
      </c>
      <c r="D28" s="15">
        <v>440.0</v>
      </c>
      <c r="O28" s="22" t="s">
        <v>83</v>
      </c>
      <c r="P28" s="15">
        <v>-31435.7</v>
      </c>
      <c r="Q28" s="15">
        <v>-0.62</v>
      </c>
      <c r="R28" s="15">
        <v>-37025.07</v>
      </c>
      <c r="S28" s="15">
        <v>-1.33</v>
      </c>
      <c r="T28" s="15">
        <v>-30762.97</v>
      </c>
      <c r="U28" s="15">
        <v>-0.69</v>
      </c>
      <c r="V28" s="15">
        <v>-99223.74</v>
      </c>
      <c r="W28" s="15">
        <v>-0.85</v>
      </c>
      <c r="Y28" s="13" t="s">
        <v>68</v>
      </c>
      <c r="Z28" s="16">
        <v>0.2</v>
      </c>
      <c r="AA28" s="30">
        <v>-0.18</v>
      </c>
      <c r="AB28" s="15">
        <v>161.0</v>
      </c>
      <c r="AC28" s="16">
        <v>0.05</v>
      </c>
      <c r="AD28" s="30">
        <v>0.15</v>
      </c>
      <c r="AE28" s="31">
        <v>685.0</v>
      </c>
      <c r="AF28" s="16">
        <v>0.07</v>
      </c>
      <c r="AG28" s="30">
        <v>0.09</v>
      </c>
      <c r="AH28" s="15">
        <v>846.0</v>
      </c>
    </row>
    <row r="29" ht="22.5" customHeight="1">
      <c r="A29" s="18"/>
      <c r="B29" s="13" t="s">
        <v>75</v>
      </c>
      <c r="C29" s="15">
        <v>330007.05</v>
      </c>
      <c r="D29" s="15">
        <v>3289.0</v>
      </c>
      <c r="O29" s="22" t="s">
        <v>84</v>
      </c>
      <c r="P29" s="15">
        <v>-29488.35</v>
      </c>
      <c r="Q29" s="15">
        <v>-0.29</v>
      </c>
      <c r="R29" s="15">
        <v>-19590.19</v>
      </c>
      <c r="S29" s="15">
        <v>-0.96</v>
      </c>
      <c r="T29" s="15">
        <v>-7816.95</v>
      </c>
      <c r="U29" s="15">
        <v>-0.19</v>
      </c>
      <c r="V29" s="15">
        <v>-56895.49</v>
      </c>
      <c r="W29" s="15">
        <v>-0.6</v>
      </c>
      <c r="Y29" s="13" t="s">
        <v>70</v>
      </c>
      <c r="Z29" s="16">
        <v>0.2</v>
      </c>
      <c r="AA29" s="30">
        <v>-0.21</v>
      </c>
      <c r="AB29" s="15">
        <v>33.0</v>
      </c>
      <c r="AC29" s="16">
        <v>0.05</v>
      </c>
      <c r="AD29" s="30">
        <v>0.18</v>
      </c>
      <c r="AE29" s="31">
        <v>157.0</v>
      </c>
      <c r="AF29" s="16">
        <v>0.08</v>
      </c>
      <c r="AG29" s="30">
        <v>0.11</v>
      </c>
      <c r="AH29" s="15">
        <v>190.0</v>
      </c>
    </row>
    <row r="30" ht="22.5" customHeight="1">
      <c r="A30" s="13" t="s">
        <v>76</v>
      </c>
      <c r="B30" s="18"/>
      <c r="C30" s="15">
        <v>836154.03</v>
      </c>
      <c r="D30" s="15">
        <v>6939.0</v>
      </c>
      <c r="O30" s="22" t="s">
        <v>64</v>
      </c>
      <c r="P30" s="15">
        <v>79387.38</v>
      </c>
      <c r="Q30" s="15">
        <v>0.22</v>
      </c>
      <c r="R30" s="15">
        <v>179106.06</v>
      </c>
      <c r="S30" s="15">
        <v>0.33</v>
      </c>
      <c r="T30" s="15">
        <v>184034.87</v>
      </c>
      <c r="U30" s="15">
        <v>0.23</v>
      </c>
      <c r="V30" s="15">
        <v>442528.31</v>
      </c>
      <c r="W30" s="15">
        <v>0.29</v>
      </c>
      <c r="Y30" s="13" t="s">
        <v>41</v>
      </c>
      <c r="Z30" s="16">
        <v>0.37</v>
      </c>
      <c r="AA30" s="30">
        <v>-0.31</v>
      </c>
      <c r="AB30" s="15">
        <v>203.0</v>
      </c>
      <c r="AC30" s="16">
        <v>0.08</v>
      </c>
      <c r="AD30" s="30">
        <v>0.14</v>
      </c>
      <c r="AE30" s="31">
        <v>116.0</v>
      </c>
      <c r="AF30" s="16">
        <v>0.26</v>
      </c>
      <c r="AG30" s="30">
        <v>-0.15</v>
      </c>
      <c r="AH30" s="15">
        <v>319.0</v>
      </c>
    </row>
    <row r="31" ht="22.5" customHeight="1">
      <c r="A31" s="13" t="s">
        <v>24</v>
      </c>
      <c r="B31" s="18"/>
      <c r="C31" s="15">
        <v>2296919.49</v>
      </c>
      <c r="D31" s="15">
        <v>37871.0</v>
      </c>
      <c r="O31" s="22" t="s">
        <v>24</v>
      </c>
      <c r="P31" s="15">
        <v>18463.33</v>
      </c>
      <c r="Q31" s="15">
        <v>0.04</v>
      </c>
      <c r="R31" s="15">
        <v>122490.8</v>
      </c>
      <c r="S31" s="15">
        <v>0.14</v>
      </c>
      <c r="T31" s="15">
        <v>145454.95</v>
      </c>
      <c r="U31" s="15">
        <v>0.16</v>
      </c>
      <c r="V31" s="15">
        <v>286409.08</v>
      </c>
      <c r="W31" s="15">
        <v>0.12</v>
      </c>
      <c r="Y31" s="13" t="s">
        <v>24</v>
      </c>
      <c r="Z31" s="16" t="s">
        <v>85</v>
      </c>
      <c r="AA31" s="36">
        <f>SUM(Table33[Values])</f>
        <v>-6.6</v>
      </c>
      <c r="AB31" s="15" t="s">
        <v>86</v>
      </c>
      <c r="AC31" s="16" t="s">
        <v>87</v>
      </c>
      <c r="AD31" s="36">
        <f>SUM(Table33[Column 4])</f>
        <v>4.56</v>
      </c>
      <c r="AE31" s="36">
        <f>SUM(Table33[Column 5])</f>
        <v>8123</v>
      </c>
      <c r="AF31" s="16" t="s">
        <v>88</v>
      </c>
      <c r="AG31" s="36">
        <f>SUM(Table33[Column 7])</f>
        <v>2.16</v>
      </c>
      <c r="AH31" s="15" t="s">
        <v>89</v>
      </c>
      <c r="AI31" s="39"/>
    </row>
    <row r="32">
      <c r="A32" s="42"/>
      <c r="B32" s="43"/>
      <c r="D32" s="14"/>
      <c r="O32" s="39"/>
      <c r="AI32" s="39"/>
    </row>
    <row r="33">
      <c r="A33" s="42"/>
      <c r="B33" s="43"/>
      <c r="D33" s="14"/>
      <c r="F33" s="14"/>
      <c r="G33" s="14"/>
      <c r="AI33" s="39"/>
    </row>
    <row r="34" ht="22.5" customHeight="1">
      <c r="A34" s="26" t="s">
        <v>2</v>
      </c>
      <c r="B34" s="27" t="s">
        <v>1</v>
      </c>
      <c r="C34" s="26" t="s">
        <v>15</v>
      </c>
      <c r="D34" s="26" t="s">
        <v>3</v>
      </c>
      <c r="E34" s="3" t="s">
        <v>4</v>
      </c>
      <c r="F34" s="3" t="s">
        <v>16</v>
      </c>
      <c r="G34" s="3" t="s">
        <v>17</v>
      </c>
      <c r="H34" s="3" t="s">
        <v>18</v>
      </c>
      <c r="I34" s="3" t="s">
        <v>19</v>
      </c>
      <c r="O34" s="4" t="s">
        <v>2</v>
      </c>
      <c r="P34" s="10" t="s">
        <v>51</v>
      </c>
      <c r="Q34" s="40" t="s">
        <v>15</v>
      </c>
      <c r="R34" s="40" t="s">
        <v>3</v>
      </c>
      <c r="S34" s="3" t="s">
        <v>4</v>
      </c>
      <c r="T34" s="3" t="s">
        <v>16</v>
      </c>
      <c r="U34" s="3" t="s">
        <v>17</v>
      </c>
      <c r="V34" s="3" t="s">
        <v>18</v>
      </c>
      <c r="Y34" s="3" t="s">
        <v>2</v>
      </c>
      <c r="Z34" s="10" t="s">
        <v>33</v>
      </c>
      <c r="AA34" s="10" t="s">
        <v>15</v>
      </c>
      <c r="AB34" s="3" t="s">
        <v>3</v>
      </c>
      <c r="AC34" s="3" t="s">
        <v>4</v>
      </c>
      <c r="AD34" s="3" t="s">
        <v>16</v>
      </c>
      <c r="AE34" s="3" t="s">
        <v>17</v>
      </c>
      <c r="AF34" s="3" t="s">
        <v>18</v>
      </c>
      <c r="AG34" s="3" t="s">
        <v>19</v>
      </c>
      <c r="AH34" s="3" t="s">
        <v>60</v>
      </c>
      <c r="AI34" s="3" t="s">
        <v>90</v>
      </c>
      <c r="AJ34" s="3" t="s">
        <v>91</v>
      </c>
      <c r="AK34" s="3" t="s">
        <v>92</v>
      </c>
      <c r="AL34" s="3" t="s">
        <v>93</v>
      </c>
      <c r="AM34" s="26" t="s">
        <v>94</v>
      </c>
      <c r="AN34" s="3" t="s">
        <v>95</v>
      </c>
    </row>
    <row r="35" ht="22.5" customHeight="1">
      <c r="A35" s="38"/>
      <c r="B35" s="29" t="s">
        <v>21</v>
      </c>
      <c r="C35" s="34"/>
      <c r="D35" s="28" t="s">
        <v>22</v>
      </c>
      <c r="E35" s="18"/>
      <c r="F35" s="13" t="s">
        <v>23</v>
      </c>
      <c r="G35" s="18"/>
      <c r="H35" s="13" t="s">
        <v>24</v>
      </c>
      <c r="I35" s="18"/>
      <c r="O35" s="23"/>
      <c r="P35" s="13" t="s">
        <v>54</v>
      </c>
      <c r="Q35" s="41"/>
      <c r="R35" s="22" t="s">
        <v>56</v>
      </c>
      <c r="S35" s="18"/>
      <c r="T35" s="13" t="s">
        <v>61</v>
      </c>
      <c r="U35" s="18"/>
      <c r="V35" s="13" t="s">
        <v>24</v>
      </c>
      <c r="Y35" s="18"/>
      <c r="Z35" s="13" t="s">
        <v>39</v>
      </c>
      <c r="AA35" s="18"/>
      <c r="AB35" s="18"/>
      <c r="AC35" s="13" t="s">
        <v>43</v>
      </c>
      <c r="AD35" s="18"/>
      <c r="AE35" s="18"/>
      <c r="AF35" s="13" t="s">
        <v>47</v>
      </c>
      <c r="AG35" s="18"/>
      <c r="AH35" s="18"/>
      <c r="AI35" s="13" t="s">
        <v>49</v>
      </c>
      <c r="AJ35" s="18"/>
      <c r="AK35" s="18"/>
      <c r="AL35" s="13" t="s">
        <v>24</v>
      </c>
      <c r="AM35" s="34"/>
      <c r="AN35" s="35"/>
    </row>
    <row r="36" ht="22.5" customHeight="1">
      <c r="A36" s="28" t="s">
        <v>96</v>
      </c>
      <c r="B36" s="29" t="s">
        <v>0</v>
      </c>
      <c r="C36" s="28" t="s">
        <v>97</v>
      </c>
      <c r="D36" s="28" t="s">
        <v>0</v>
      </c>
      <c r="E36" s="13" t="s">
        <v>97</v>
      </c>
      <c r="F36" s="13" t="s">
        <v>0</v>
      </c>
      <c r="G36" s="13" t="s">
        <v>97</v>
      </c>
      <c r="H36" s="13" t="s">
        <v>0</v>
      </c>
      <c r="I36" s="13" t="s">
        <v>97</v>
      </c>
      <c r="O36" s="13" t="s">
        <v>20</v>
      </c>
      <c r="P36" s="13" t="s">
        <v>7</v>
      </c>
      <c r="Q36" s="22" t="s">
        <v>98</v>
      </c>
      <c r="R36" s="22" t="s">
        <v>7</v>
      </c>
      <c r="S36" s="13" t="s">
        <v>98</v>
      </c>
      <c r="T36" s="13" t="s">
        <v>7</v>
      </c>
      <c r="U36" s="13" t="s">
        <v>98</v>
      </c>
      <c r="V36" s="13" t="s">
        <v>7</v>
      </c>
      <c r="Y36" s="13" t="s">
        <v>20</v>
      </c>
      <c r="Z36" s="13" t="s">
        <v>34</v>
      </c>
      <c r="AA36" s="13" t="s">
        <v>35</v>
      </c>
      <c r="AB36" s="13" t="s">
        <v>0</v>
      </c>
      <c r="AC36" s="13" t="s">
        <v>34</v>
      </c>
      <c r="AD36" s="13" t="s">
        <v>35</v>
      </c>
      <c r="AE36" s="13" t="s">
        <v>0</v>
      </c>
      <c r="AF36" s="13" t="s">
        <v>34</v>
      </c>
      <c r="AG36" s="13" t="s">
        <v>35</v>
      </c>
      <c r="AH36" s="13" t="s">
        <v>0</v>
      </c>
      <c r="AI36" s="13" t="s">
        <v>34</v>
      </c>
      <c r="AJ36" s="13" t="s">
        <v>35</v>
      </c>
      <c r="AK36" s="13" t="s">
        <v>0</v>
      </c>
      <c r="AL36" s="13" t="s">
        <v>34</v>
      </c>
      <c r="AM36" s="28" t="s">
        <v>35</v>
      </c>
      <c r="AN36" s="29" t="s">
        <v>0</v>
      </c>
    </row>
    <row r="37" ht="22.5" customHeight="1">
      <c r="A37" s="28" t="s">
        <v>99</v>
      </c>
      <c r="B37" s="31">
        <v>494122.1</v>
      </c>
      <c r="C37" s="30">
        <v>215.0</v>
      </c>
      <c r="D37" s="30">
        <v>375122.44</v>
      </c>
      <c r="E37" s="15">
        <v>298.77</v>
      </c>
      <c r="F37" s="15">
        <v>605739.59</v>
      </c>
      <c r="G37" s="15">
        <v>358.67</v>
      </c>
      <c r="H37" s="15">
        <v>1474984.13</v>
      </c>
      <c r="I37" s="15">
        <v>285.52</v>
      </c>
      <c r="O37" s="13" t="s">
        <v>30</v>
      </c>
      <c r="P37" s="16">
        <v>0.25</v>
      </c>
      <c r="Q37" s="24">
        <v>44296.65</v>
      </c>
      <c r="R37" s="16">
        <v>0.24</v>
      </c>
      <c r="S37" s="15">
        <v>22071.9</v>
      </c>
      <c r="T37" s="16">
        <v>0.21</v>
      </c>
      <c r="U37" s="15">
        <v>11419.11</v>
      </c>
      <c r="V37" s="16">
        <v>0.24</v>
      </c>
      <c r="Y37" s="13" t="s">
        <v>30</v>
      </c>
      <c r="Z37" s="15">
        <v>2.0</v>
      </c>
      <c r="AA37" s="15">
        <v>299.0</v>
      </c>
      <c r="AB37" s="15">
        <v>58746.92</v>
      </c>
      <c r="AC37" s="15">
        <v>0.0</v>
      </c>
      <c r="AD37" s="15">
        <v>120.0</v>
      </c>
      <c r="AE37" s="15">
        <v>20415.41</v>
      </c>
      <c r="AF37" s="15">
        <v>3.0</v>
      </c>
      <c r="AG37" s="15">
        <v>465.0</v>
      </c>
      <c r="AH37" s="15">
        <v>103550.01</v>
      </c>
      <c r="AI37" s="15">
        <v>5.0</v>
      </c>
      <c r="AJ37" s="15">
        <v>1439.0</v>
      </c>
      <c r="AK37" s="15">
        <v>318527.56</v>
      </c>
      <c r="AL37" s="15">
        <v>4.0</v>
      </c>
      <c r="AM37" s="30">
        <v>2323.0</v>
      </c>
      <c r="AN37" s="31">
        <v>501239.89</v>
      </c>
    </row>
    <row r="38" ht="22.5" customHeight="1">
      <c r="A38" s="28" t="s">
        <v>100</v>
      </c>
      <c r="B38" s="31">
        <v>216385.54</v>
      </c>
      <c r="C38" s="30">
        <v>92.5</v>
      </c>
      <c r="D38" s="30">
        <v>212760.26</v>
      </c>
      <c r="E38" s="15">
        <v>62.81</v>
      </c>
      <c r="F38" s="15">
        <v>197250.29</v>
      </c>
      <c r="G38" s="15">
        <v>83.06</v>
      </c>
      <c r="H38" s="15">
        <v>626396.1</v>
      </c>
      <c r="I38" s="15">
        <v>78.67</v>
      </c>
      <c r="O38" s="13" t="s">
        <v>36</v>
      </c>
      <c r="P38" s="16">
        <v>0.15</v>
      </c>
      <c r="Q38" s="24">
        <v>53944.68</v>
      </c>
      <c r="R38" s="16">
        <v>0.14</v>
      </c>
      <c r="S38" s="15">
        <v>25687.5</v>
      </c>
      <c r="T38" s="16">
        <v>0.14</v>
      </c>
      <c r="U38" s="15">
        <v>14892.05</v>
      </c>
      <c r="V38" s="16">
        <v>0.15</v>
      </c>
      <c r="Y38" s="13" t="s">
        <v>36</v>
      </c>
      <c r="Z38" s="15">
        <v>2.0</v>
      </c>
      <c r="AA38" s="15">
        <v>490.0</v>
      </c>
      <c r="AB38" s="15">
        <v>113587.05</v>
      </c>
      <c r="AC38" s="15">
        <v>0.0</v>
      </c>
      <c r="AD38" s="15">
        <v>155.0</v>
      </c>
      <c r="AE38" s="15">
        <v>43326.83</v>
      </c>
      <c r="AF38" s="15">
        <v>3.0</v>
      </c>
      <c r="AG38" s="15">
        <v>530.0</v>
      </c>
      <c r="AH38" s="15">
        <v>116545.52</v>
      </c>
      <c r="AI38" s="15">
        <v>5.0</v>
      </c>
      <c r="AJ38" s="15">
        <v>1672.0</v>
      </c>
      <c r="AK38" s="15">
        <v>405040.46</v>
      </c>
      <c r="AL38" s="15">
        <v>4.0</v>
      </c>
      <c r="AM38" s="30">
        <v>2847.0</v>
      </c>
      <c r="AN38" s="31">
        <v>678499.87</v>
      </c>
    </row>
    <row r="39" ht="22.5" customHeight="1">
      <c r="A39" s="28" t="s">
        <v>101</v>
      </c>
      <c r="B39" s="31">
        <v>31210.78</v>
      </c>
      <c r="C39" s="30">
        <v>16.85</v>
      </c>
      <c r="D39" s="30">
        <v>131164.33</v>
      </c>
      <c r="E39" s="15">
        <v>9.25</v>
      </c>
      <c r="F39" s="15">
        <v>33164.15</v>
      </c>
      <c r="G39" s="15">
        <v>21.88</v>
      </c>
      <c r="H39" s="15">
        <v>195539.26</v>
      </c>
      <c r="I39" s="15">
        <v>11.56</v>
      </c>
      <c r="O39" s="13" t="s">
        <v>40</v>
      </c>
      <c r="P39" s="16">
        <v>0.14</v>
      </c>
      <c r="Q39" s="24">
        <v>23149.91</v>
      </c>
      <c r="R39" s="16">
        <v>0.16</v>
      </c>
      <c r="S39" s="15">
        <v>15435.6</v>
      </c>
      <c r="T39" s="16">
        <v>0.14</v>
      </c>
      <c r="U39" s="15">
        <v>18193.66</v>
      </c>
      <c r="V39" s="16">
        <v>0.15</v>
      </c>
      <c r="Y39" s="13" t="s">
        <v>40</v>
      </c>
      <c r="Z39" s="15">
        <v>2.0</v>
      </c>
      <c r="AA39" s="15">
        <v>234.0</v>
      </c>
      <c r="AB39" s="15">
        <v>49332.57</v>
      </c>
      <c r="AC39" s="15">
        <v>0.0</v>
      </c>
      <c r="AD39" s="15">
        <v>83.0</v>
      </c>
      <c r="AE39" s="15">
        <v>21017.17</v>
      </c>
      <c r="AF39" s="15">
        <v>3.0</v>
      </c>
      <c r="AG39" s="15">
        <v>329.0</v>
      </c>
      <c r="AH39" s="15">
        <v>93758.61</v>
      </c>
      <c r="AI39" s="15">
        <v>5.0</v>
      </c>
      <c r="AJ39" s="15">
        <v>974.0</v>
      </c>
      <c r="AK39" s="15">
        <v>227613.55</v>
      </c>
      <c r="AL39" s="15">
        <v>4.0</v>
      </c>
      <c r="AM39" s="30">
        <v>1620.0</v>
      </c>
      <c r="AN39" s="31">
        <v>391721.91</v>
      </c>
    </row>
    <row r="40" ht="22.5" customHeight="1">
      <c r="A40" s="28" t="s">
        <v>24</v>
      </c>
      <c r="B40" s="31">
        <v>741718.42</v>
      </c>
      <c r="C40" s="30">
        <v>90.83</v>
      </c>
      <c r="D40" s="30">
        <v>719047.03</v>
      </c>
      <c r="E40" s="15">
        <v>32.16</v>
      </c>
      <c r="F40" s="15">
        <v>836154.03</v>
      </c>
      <c r="G40" s="15">
        <v>120.39</v>
      </c>
      <c r="H40" s="15">
        <v>2296919.49</v>
      </c>
      <c r="I40" s="15">
        <v>60.91</v>
      </c>
      <c r="O40" s="13" t="s">
        <v>44</v>
      </c>
      <c r="P40" s="16">
        <v>0.11</v>
      </c>
      <c r="Q40" s="24">
        <v>44876.12</v>
      </c>
      <c r="R40" s="16">
        <v>0.11</v>
      </c>
      <c r="S40" s="15">
        <v>28194.41</v>
      </c>
      <c r="T40" s="16">
        <v>0.11</v>
      </c>
      <c r="U40" s="15">
        <v>20336.15</v>
      </c>
      <c r="V40" s="16">
        <v>0.11</v>
      </c>
      <c r="Y40" s="13" t="s">
        <v>44</v>
      </c>
      <c r="Z40" s="15">
        <v>2.0</v>
      </c>
      <c r="AA40" s="15">
        <v>515.0</v>
      </c>
      <c r="AB40" s="15">
        <v>129761.89</v>
      </c>
      <c r="AC40" s="15">
        <v>0.0</v>
      </c>
      <c r="AD40" s="15">
        <v>185.0</v>
      </c>
      <c r="AE40" s="15">
        <v>43603.71</v>
      </c>
      <c r="AF40" s="15">
        <v>3.0</v>
      </c>
      <c r="AG40" s="15">
        <v>621.0</v>
      </c>
      <c r="AH40" s="15">
        <v>145339.43</v>
      </c>
      <c r="AI40" s="15">
        <v>5.0</v>
      </c>
      <c r="AJ40" s="15">
        <v>1882.0</v>
      </c>
      <c r="AK40" s="15">
        <v>406752.8</v>
      </c>
      <c r="AL40" s="15">
        <v>4.0</v>
      </c>
      <c r="AM40" s="30">
        <v>3203.0</v>
      </c>
      <c r="AN40" s="31">
        <v>725457.82</v>
      </c>
    </row>
    <row r="41" ht="22.5" customHeight="1">
      <c r="O41" s="13" t="s">
        <v>24</v>
      </c>
      <c r="P41" s="16">
        <v>0.16</v>
      </c>
      <c r="Q41" s="24">
        <v>166267.36</v>
      </c>
      <c r="R41" s="16">
        <v>0.16</v>
      </c>
      <c r="S41" s="15">
        <v>91389.4</v>
      </c>
      <c r="T41" s="16">
        <v>0.15</v>
      </c>
      <c r="U41" s="15">
        <v>64840.96</v>
      </c>
      <c r="V41" s="16">
        <v>0.16</v>
      </c>
      <c r="Y41" s="13" t="s">
        <v>24</v>
      </c>
      <c r="Z41" s="15" t="s">
        <v>102</v>
      </c>
      <c r="AA41" s="15" t="s">
        <v>103</v>
      </c>
      <c r="AB41" s="15" t="s">
        <v>104</v>
      </c>
      <c r="AC41" s="15" t="s">
        <v>105</v>
      </c>
      <c r="AD41" s="15" t="s">
        <v>106</v>
      </c>
      <c r="AE41" s="15" t="s">
        <v>107</v>
      </c>
      <c r="AF41" s="15" t="s">
        <v>108</v>
      </c>
      <c r="AG41" s="15" t="s">
        <v>109</v>
      </c>
      <c r="AH41" s="15" t="s">
        <v>110</v>
      </c>
      <c r="AI41" s="15" t="s">
        <v>111</v>
      </c>
      <c r="AJ41" s="15" t="s">
        <v>112</v>
      </c>
      <c r="AK41" s="15" t="s">
        <v>113</v>
      </c>
      <c r="AL41" s="15" t="s">
        <v>114</v>
      </c>
      <c r="AM41" s="36">
        <f>SUM(Table32[Column 13])</f>
        <v>9993</v>
      </c>
      <c r="AN41" s="36">
        <f>SUM(Table32[Column 14])</f>
        <v>2296919.49</v>
      </c>
    </row>
    <row r="43" ht="22.5" customHeight="1">
      <c r="A43" s="8" t="s">
        <v>2</v>
      </c>
      <c r="B43" s="9" t="s">
        <v>1</v>
      </c>
      <c r="C43" s="10" t="s">
        <v>15</v>
      </c>
      <c r="D43" s="4" t="s">
        <v>3</v>
      </c>
      <c r="E43" s="3" t="s">
        <v>4</v>
      </c>
      <c r="F43" s="4" t="s">
        <v>16</v>
      </c>
      <c r="G43" s="4" t="s">
        <v>17</v>
      </c>
      <c r="H43" s="3" t="s">
        <v>18</v>
      </c>
    </row>
    <row r="44" ht="22.5" customHeight="1">
      <c r="A44" s="17"/>
      <c r="B44" s="12" t="s">
        <v>21</v>
      </c>
      <c r="C44" s="18"/>
      <c r="D44" s="13" t="s">
        <v>22</v>
      </c>
      <c r="E44" s="18"/>
      <c r="F44" s="13" t="s">
        <v>23</v>
      </c>
      <c r="G44" s="19"/>
      <c r="H44" s="13" t="s">
        <v>24</v>
      </c>
      <c r="I44" s="39"/>
      <c r="O44" s="3" t="s">
        <v>2</v>
      </c>
      <c r="P44" s="3" t="s">
        <v>3</v>
      </c>
      <c r="Q44" s="10" t="s">
        <v>59</v>
      </c>
      <c r="R44" s="10" t="s">
        <v>15</v>
      </c>
      <c r="S44" s="3" t="s">
        <v>4</v>
      </c>
      <c r="T44" s="26" t="s">
        <v>16</v>
      </c>
      <c r="U44" s="27" t="s">
        <v>17</v>
      </c>
      <c r="V44" s="27" t="s">
        <v>18</v>
      </c>
      <c r="Y44" s="26" t="s">
        <v>2</v>
      </c>
      <c r="Z44" s="10" t="s">
        <v>51</v>
      </c>
      <c r="AA44" s="26" t="s">
        <v>15</v>
      </c>
      <c r="AB44" s="26" t="s">
        <v>3</v>
      </c>
      <c r="AC44" s="3" t="s">
        <v>4</v>
      </c>
      <c r="AD44" s="3" t="s">
        <v>16</v>
      </c>
      <c r="AE44" s="26" t="s">
        <v>17</v>
      </c>
      <c r="AF44" s="27" t="s">
        <v>18</v>
      </c>
      <c r="AG44" s="26" t="s">
        <v>19</v>
      </c>
      <c r="AH44" s="26" t="s">
        <v>60</v>
      </c>
      <c r="AI44" s="3" t="s">
        <v>90</v>
      </c>
      <c r="AJ44" s="3" t="s">
        <v>91</v>
      </c>
      <c r="AK44" s="3" t="s">
        <v>92</v>
      </c>
    </row>
    <row r="45" ht="22.5" customHeight="1">
      <c r="A45" s="11" t="s">
        <v>20</v>
      </c>
      <c r="B45" s="12" t="s">
        <v>5</v>
      </c>
      <c r="C45" s="13" t="s">
        <v>6</v>
      </c>
      <c r="D45" s="13" t="s">
        <v>5</v>
      </c>
      <c r="E45" s="13" t="s">
        <v>6</v>
      </c>
      <c r="F45" s="13" t="s">
        <v>5</v>
      </c>
      <c r="G45" s="13" t="s">
        <v>6</v>
      </c>
      <c r="H45" s="13" t="s">
        <v>5</v>
      </c>
      <c r="I45" s="44"/>
      <c r="Q45" s="13" t="s">
        <v>63</v>
      </c>
      <c r="R45" s="18"/>
      <c r="S45" s="13" t="s">
        <v>64</v>
      </c>
      <c r="T45" s="34"/>
      <c r="U45" s="29" t="s">
        <v>24</v>
      </c>
      <c r="V45" s="35"/>
      <c r="Y45" s="38"/>
      <c r="Z45" s="13" t="s">
        <v>54</v>
      </c>
      <c r="AA45" s="34"/>
      <c r="AB45" s="34"/>
      <c r="AC45" s="13" t="s">
        <v>56</v>
      </c>
      <c r="AD45" s="18"/>
      <c r="AE45" s="34"/>
      <c r="AF45" s="29" t="s">
        <v>61</v>
      </c>
      <c r="AG45" s="34"/>
      <c r="AH45" s="34"/>
      <c r="AI45" s="13" t="s">
        <v>24</v>
      </c>
      <c r="AJ45" s="18"/>
      <c r="AK45" s="18"/>
    </row>
    <row r="46" ht="22.5" customHeight="1">
      <c r="A46" s="11" t="s">
        <v>30</v>
      </c>
      <c r="B46" s="21">
        <v>-2871.05</v>
      </c>
      <c r="C46" s="15">
        <v>-0.19</v>
      </c>
      <c r="D46" s="15">
        <v>8879.98</v>
      </c>
      <c r="E46" s="15">
        <v>-0.16</v>
      </c>
      <c r="F46" s="15">
        <v>33697.43</v>
      </c>
      <c r="G46" s="15">
        <v>0.18</v>
      </c>
      <c r="H46" s="15">
        <v>39706.36</v>
      </c>
      <c r="I46" s="44"/>
      <c r="O46" s="13" t="s">
        <v>20</v>
      </c>
      <c r="P46" s="13" t="s">
        <v>51</v>
      </c>
      <c r="Q46" s="13" t="s">
        <v>67</v>
      </c>
      <c r="R46" s="13" t="s">
        <v>5</v>
      </c>
      <c r="S46" s="13" t="s">
        <v>67</v>
      </c>
      <c r="T46" s="28" t="s">
        <v>5</v>
      </c>
      <c r="U46" s="29" t="s">
        <v>67</v>
      </c>
      <c r="V46" s="29" t="s">
        <v>5</v>
      </c>
      <c r="Y46" s="28" t="s">
        <v>33</v>
      </c>
      <c r="Z46" s="13" t="s">
        <v>0</v>
      </c>
      <c r="AA46" s="28" t="s">
        <v>5</v>
      </c>
      <c r="AB46" s="28" t="s">
        <v>6</v>
      </c>
      <c r="AC46" s="13" t="s">
        <v>0</v>
      </c>
      <c r="AD46" s="13" t="s">
        <v>5</v>
      </c>
      <c r="AE46" s="28" t="s">
        <v>6</v>
      </c>
      <c r="AF46" s="29" t="s">
        <v>0</v>
      </c>
      <c r="AG46" s="28" t="s">
        <v>5</v>
      </c>
      <c r="AH46" s="28" t="s">
        <v>6</v>
      </c>
      <c r="AI46" s="13" t="s">
        <v>0</v>
      </c>
      <c r="AJ46" s="13" t="s">
        <v>5</v>
      </c>
      <c r="AK46" s="13" t="s">
        <v>6</v>
      </c>
    </row>
    <row r="47" ht="22.5" customHeight="1">
      <c r="A47" s="11" t="s">
        <v>36</v>
      </c>
      <c r="B47" s="21">
        <v>3058.22</v>
      </c>
      <c r="C47" s="15">
        <v>0.09</v>
      </c>
      <c r="D47" s="15">
        <v>41014.58</v>
      </c>
      <c r="E47" s="15">
        <v>0.21</v>
      </c>
      <c r="F47" s="15">
        <v>47462.04</v>
      </c>
      <c r="G47" s="15">
        <v>0.13</v>
      </c>
      <c r="H47" s="15">
        <v>91534.84</v>
      </c>
      <c r="I47" s="44"/>
      <c r="O47" s="13" t="s">
        <v>30</v>
      </c>
      <c r="P47" s="13" t="s">
        <v>54</v>
      </c>
      <c r="Q47" s="15">
        <v>421.0</v>
      </c>
      <c r="R47" s="15">
        <v>-34630.46</v>
      </c>
      <c r="S47" s="15">
        <v>791.0</v>
      </c>
      <c r="T47" s="30">
        <v>43194.5</v>
      </c>
      <c r="U47" s="31">
        <v>1212.0</v>
      </c>
      <c r="V47" s="31">
        <v>8564.05</v>
      </c>
      <c r="Y47" s="28" t="s">
        <v>39</v>
      </c>
      <c r="Z47" s="15">
        <v>159168.97</v>
      </c>
      <c r="AA47" s="30">
        <v>21374.04</v>
      </c>
      <c r="AB47" s="30">
        <v>0.11</v>
      </c>
      <c r="AC47" s="15">
        <v>105858.47</v>
      </c>
      <c r="AD47" s="15">
        <v>14464.47</v>
      </c>
      <c r="AE47" s="30">
        <v>0.11</v>
      </c>
      <c r="AF47" s="31">
        <v>86400.99</v>
      </c>
      <c r="AG47" s="30">
        <v>13131.32</v>
      </c>
      <c r="AH47" s="30">
        <v>0.13</v>
      </c>
      <c r="AI47" s="15">
        <v>351428.42</v>
      </c>
      <c r="AJ47" s="15">
        <v>48969.84</v>
      </c>
      <c r="AK47" s="15">
        <v>0.12</v>
      </c>
    </row>
    <row r="48" ht="22.5" customHeight="1">
      <c r="A48" s="11" t="s">
        <v>40</v>
      </c>
      <c r="B48" s="21">
        <v>6771.21</v>
      </c>
      <c r="C48" s="15">
        <v>0.14</v>
      </c>
      <c r="D48" s="15">
        <v>19986.39</v>
      </c>
      <c r="E48" s="15">
        <v>0.16</v>
      </c>
      <c r="F48" s="15">
        <v>19991.83</v>
      </c>
      <c r="G48" s="15">
        <v>0.19</v>
      </c>
      <c r="H48" s="15">
        <v>46749.43</v>
      </c>
      <c r="I48" s="44"/>
      <c r="O48" s="18"/>
      <c r="P48" s="13" t="s">
        <v>56</v>
      </c>
      <c r="Q48" s="15">
        <v>198.0</v>
      </c>
      <c r="R48" s="15">
        <v>-14275.4</v>
      </c>
      <c r="S48" s="15">
        <v>475.0</v>
      </c>
      <c r="T48" s="30">
        <v>32979.31</v>
      </c>
      <c r="U48" s="31">
        <v>673.0</v>
      </c>
      <c r="V48" s="31">
        <v>18703.9</v>
      </c>
      <c r="Y48" s="28" t="s">
        <v>43</v>
      </c>
      <c r="Z48" s="15">
        <v>60596.36</v>
      </c>
      <c r="AA48" s="30">
        <v>9874.21</v>
      </c>
      <c r="AB48" s="30">
        <v>0.14</v>
      </c>
      <c r="AC48" s="15">
        <v>45121.32</v>
      </c>
      <c r="AD48" s="15">
        <v>1818.14</v>
      </c>
      <c r="AE48" s="30">
        <v>0.14</v>
      </c>
      <c r="AF48" s="31">
        <v>22645.44</v>
      </c>
      <c r="AG48" s="30">
        <v>4199.41</v>
      </c>
      <c r="AH48" s="30">
        <v>0.14</v>
      </c>
      <c r="AI48" s="15">
        <v>128363.13</v>
      </c>
      <c r="AJ48" s="15">
        <v>15891.76</v>
      </c>
      <c r="AK48" s="15">
        <v>0.14</v>
      </c>
    </row>
    <row r="49" ht="22.5" customHeight="1">
      <c r="A49" s="11" t="s">
        <v>44</v>
      </c>
      <c r="B49" s="21">
        <v>11504.95</v>
      </c>
      <c r="C49" s="15">
        <v>0.1</v>
      </c>
      <c r="D49" s="15">
        <v>52609.85</v>
      </c>
      <c r="E49" s="15">
        <v>0.29</v>
      </c>
      <c r="F49" s="15">
        <v>44303.65</v>
      </c>
      <c r="G49" s="15">
        <v>0.15</v>
      </c>
      <c r="H49" s="15">
        <v>108418.45</v>
      </c>
      <c r="I49" s="44"/>
      <c r="O49" s="18"/>
      <c r="P49" s="13" t="s">
        <v>61</v>
      </c>
      <c r="Q49" s="15">
        <v>122.0</v>
      </c>
      <c r="R49" s="15">
        <v>-7409.02</v>
      </c>
      <c r="S49" s="15">
        <v>316.0</v>
      </c>
      <c r="T49" s="30">
        <v>19847.44</v>
      </c>
      <c r="U49" s="31">
        <v>438.0</v>
      </c>
      <c r="V49" s="31">
        <v>12438.41</v>
      </c>
      <c r="Y49" s="28" t="s">
        <v>47</v>
      </c>
      <c r="Z49" s="15">
        <v>231498.95</v>
      </c>
      <c r="AA49" s="30">
        <v>24946.91</v>
      </c>
      <c r="AB49" s="30">
        <v>0.14</v>
      </c>
      <c r="AC49" s="15">
        <v>146126.04</v>
      </c>
      <c r="AD49" s="15">
        <v>18225.71</v>
      </c>
      <c r="AE49" s="30">
        <v>0.15</v>
      </c>
      <c r="AF49" s="31">
        <v>81568.58</v>
      </c>
      <c r="AG49" s="30">
        <v>14274.01</v>
      </c>
      <c r="AH49" s="30">
        <v>0.17</v>
      </c>
      <c r="AI49" s="15">
        <v>459193.57</v>
      </c>
      <c r="AJ49" s="15">
        <v>57446.64</v>
      </c>
      <c r="AK49" s="15">
        <v>0.15</v>
      </c>
    </row>
    <row r="50" ht="22.5" customHeight="1">
      <c r="A50" s="11" t="s">
        <v>24</v>
      </c>
      <c r="B50" s="21">
        <v>18463.33</v>
      </c>
      <c r="C50" s="15">
        <v>0.04</v>
      </c>
      <c r="D50" s="15">
        <v>122490.8</v>
      </c>
      <c r="E50" s="15">
        <v>0.14</v>
      </c>
      <c r="F50" s="15">
        <v>145454.95</v>
      </c>
      <c r="G50" s="15">
        <v>0.16</v>
      </c>
      <c r="H50" s="15">
        <v>286409.08</v>
      </c>
      <c r="I50" s="44"/>
      <c r="O50" s="13" t="s">
        <v>115</v>
      </c>
      <c r="P50" s="18"/>
      <c r="Q50" s="15">
        <v>741.0</v>
      </c>
      <c r="R50" s="15">
        <v>-56314.89</v>
      </c>
      <c r="S50" s="15">
        <v>1582.0</v>
      </c>
      <c r="T50" s="30">
        <v>96021.25</v>
      </c>
      <c r="U50" s="31">
        <v>2323.0</v>
      </c>
      <c r="V50" s="31">
        <v>39706.36</v>
      </c>
      <c r="Y50" s="28" t="s">
        <v>49</v>
      </c>
      <c r="Z50" s="15">
        <v>710137.07</v>
      </c>
      <c r="AA50" s="30">
        <v>77924.05</v>
      </c>
      <c r="AB50" s="30">
        <v>0.1</v>
      </c>
      <c r="AC50" s="15">
        <v>409040.54</v>
      </c>
      <c r="AD50" s="15">
        <v>57470.81</v>
      </c>
      <c r="AE50" s="30">
        <v>0.11</v>
      </c>
      <c r="AF50" s="31">
        <v>238756.76</v>
      </c>
      <c r="AG50" s="30">
        <v>28705.99</v>
      </c>
      <c r="AH50" s="30">
        <v>0.14</v>
      </c>
      <c r="AI50" s="15">
        <v>1357934.37</v>
      </c>
      <c r="AJ50" s="15">
        <v>164100.85</v>
      </c>
      <c r="AK50" s="15">
        <v>0.11</v>
      </c>
    </row>
    <row r="51" ht="22.5" customHeight="1">
      <c r="A51" s="42"/>
      <c r="B51" s="43"/>
      <c r="D51" s="14"/>
      <c r="F51" s="14"/>
      <c r="G51" s="14"/>
      <c r="O51" s="13" t="s">
        <v>36</v>
      </c>
      <c r="P51" s="13" t="s">
        <v>54</v>
      </c>
      <c r="Q51" s="15">
        <v>283.0</v>
      </c>
      <c r="R51" s="15">
        <v>-27951.65</v>
      </c>
      <c r="S51" s="15">
        <v>1186.0</v>
      </c>
      <c r="T51" s="30">
        <v>69142.63</v>
      </c>
      <c r="U51" s="31">
        <v>1469.0</v>
      </c>
      <c r="V51" s="31">
        <v>41190.98</v>
      </c>
      <c r="Y51" s="28" t="s">
        <v>24</v>
      </c>
      <c r="Z51" s="15">
        <v>1161401.34</v>
      </c>
      <c r="AA51" s="30">
        <v>134119.21</v>
      </c>
      <c r="AB51" s="30">
        <v>0.11</v>
      </c>
      <c r="AC51" s="15">
        <v>706146.37</v>
      </c>
      <c r="AD51" s="15">
        <v>91979.13</v>
      </c>
      <c r="AE51" s="30">
        <v>0.12</v>
      </c>
      <c r="AF51" s="31">
        <v>429371.78</v>
      </c>
      <c r="AG51" s="30">
        <v>60310.74</v>
      </c>
      <c r="AH51" s="30">
        <v>0.14</v>
      </c>
      <c r="AI51" s="15">
        <v>2296919.49</v>
      </c>
      <c r="AJ51" s="15">
        <v>286409.08</v>
      </c>
      <c r="AK51" s="15">
        <v>0.12</v>
      </c>
    </row>
    <row r="52" ht="22.5" customHeight="1">
      <c r="A52" s="42"/>
      <c r="B52" s="43"/>
      <c r="D52" s="14"/>
      <c r="F52" s="14"/>
      <c r="G52" s="14"/>
      <c r="O52" s="18"/>
      <c r="P52" s="13" t="s">
        <v>56</v>
      </c>
      <c r="Q52" s="15">
        <v>178.0</v>
      </c>
      <c r="R52" s="15">
        <v>-15844.24</v>
      </c>
      <c r="S52" s="15">
        <v>699.0</v>
      </c>
      <c r="T52" s="30">
        <v>39466.82</v>
      </c>
      <c r="U52" s="31">
        <v>877.0</v>
      </c>
      <c r="V52" s="31">
        <v>23622.58</v>
      </c>
      <c r="AH52" s="39"/>
      <c r="AI52" s="39"/>
    </row>
    <row r="53" ht="22.5" customHeight="1">
      <c r="A53" s="27" t="s">
        <v>2</v>
      </c>
      <c r="B53" s="27" t="s">
        <v>1</v>
      </c>
      <c r="C53" s="26" t="s">
        <v>15</v>
      </c>
      <c r="D53" s="32" t="s">
        <v>3</v>
      </c>
      <c r="E53" s="26" t="s">
        <v>4</v>
      </c>
      <c r="F53" s="26" t="s">
        <v>16</v>
      </c>
      <c r="G53" s="3" t="s">
        <v>17</v>
      </c>
      <c r="H53" s="3" t="s">
        <v>18</v>
      </c>
      <c r="I53" s="26" t="s">
        <v>19</v>
      </c>
      <c r="O53" s="18"/>
      <c r="P53" s="13" t="s">
        <v>61</v>
      </c>
      <c r="Q53" s="15">
        <v>91.0</v>
      </c>
      <c r="R53" s="15">
        <v>-5782.66</v>
      </c>
      <c r="S53" s="15">
        <v>410.0</v>
      </c>
      <c r="T53" s="30">
        <v>32503.94</v>
      </c>
      <c r="U53" s="31">
        <v>501.0</v>
      </c>
      <c r="V53" s="31">
        <v>26721.28</v>
      </c>
      <c r="AH53" s="39"/>
      <c r="AI53" s="39"/>
    </row>
    <row r="54" ht="22.5" customHeight="1">
      <c r="A54" s="45"/>
      <c r="B54" s="29" t="s">
        <v>21</v>
      </c>
      <c r="C54" s="34"/>
      <c r="D54" s="13" t="s">
        <v>22</v>
      </c>
      <c r="E54" s="34"/>
      <c r="F54" s="28" t="s">
        <v>23</v>
      </c>
      <c r="G54" s="18"/>
      <c r="H54" s="13" t="s">
        <v>24</v>
      </c>
      <c r="I54" s="34"/>
      <c r="O54" s="13" t="s">
        <v>116</v>
      </c>
      <c r="P54" s="18"/>
      <c r="Q54" s="15">
        <v>552.0</v>
      </c>
      <c r="R54" s="15">
        <v>-49578.55</v>
      </c>
      <c r="S54" s="15">
        <v>2295.0</v>
      </c>
      <c r="T54" s="30">
        <v>141113.39</v>
      </c>
      <c r="U54" s="31">
        <v>2847.0</v>
      </c>
      <c r="V54" s="31">
        <v>91534.84</v>
      </c>
      <c r="Y54" s="3" t="s">
        <v>2</v>
      </c>
      <c r="Z54" s="10" t="s">
        <v>1</v>
      </c>
      <c r="AA54" s="10" t="s">
        <v>15</v>
      </c>
      <c r="AB54" s="3" t="s">
        <v>3</v>
      </c>
      <c r="AC54" s="3" t="s">
        <v>4</v>
      </c>
      <c r="AD54" s="3" t="s">
        <v>16</v>
      </c>
      <c r="AE54" s="3" t="s">
        <v>17</v>
      </c>
      <c r="AF54" s="3" t="s">
        <v>18</v>
      </c>
      <c r="AG54" s="3" t="s">
        <v>19</v>
      </c>
      <c r="AH54" s="3" t="s">
        <v>60</v>
      </c>
      <c r="AI54" s="3" t="s">
        <v>90</v>
      </c>
      <c r="AJ54" s="3" t="s">
        <v>91</v>
      </c>
      <c r="AK54" s="3" t="s">
        <v>92</v>
      </c>
    </row>
    <row r="55" ht="22.5" customHeight="1">
      <c r="A55" s="29" t="s">
        <v>33</v>
      </c>
      <c r="B55" s="29" t="s">
        <v>5</v>
      </c>
      <c r="C55" s="28" t="s">
        <v>6</v>
      </c>
      <c r="D55" s="13" t="s">
        <v>5</v>
      </c>
      <c r="E55" s="28" t="s">
        <v>6</v>
      </c>
      <c r="F55" s="28" t="s">
        <v>5</v>
      </c>
      <c r="G55" s="13" t="s">
        <v>6</v>
      </c>
      <c r="H55" s="13" t="s">
        <v>5</v>
      </c>
      <c r="I55" s="28" t="s">
        <v>6</v>
      </c>
      <c r="K55" s="39"/>
      <c r="O55" s="13" t="s">
        <v>40</v>
      </c>
      <c r="P55" s="13" t="s">
        <v>54</v>
      </c>
      <c r="Q55" s="15">
        <v>128.0</v>
      </c>
      <c r="R55" s="15">
        <v>-12468.25</v>
      </c>
      <c r="S55" s="15">
        <v>710.0</v>
      </c>
      <c r="T55" s="30">
        <v>39381.83</v>
      </c>
      <c r="U55" s="31">
        <v>838.0</v>
      </c>
      <c r="V55" s="31">
        <v>26913.57</v>
      </c>
      <c r="Z55" s="13" t="s">
        <v>21</v>
      </c>
      <c r="AA55" s="18"/>
      <c r="AB55" s="18"/>
      <c r="AC55" s="13" t="s">
        <v>22</v>
      </c>
      <c r="AD55" s="18"/>
      <c r="AE55" s="18"/>
      <c r="AF55" s="13" t="s">
        <v>23</v>
      </c>
      <c r="AG55" s="18"/>
      <c r="AH55" s="18"/>
      <c r="AI55" s="13" t="s">
        <v>24</v>
      </c>
    </row>
    <row r="56" ht="22.5" customHeight="1">
      <c r="A56" s="29" t="s">
        <v>39</v>
      </c>
      <c r="B56" s="31">
        <v>3066.95</v>
      </c>
      <c r="C56" s="30">
        <v>0.04</v>
      </c>
      <c r="D56" s="15">
        <v>18400.33</v>
      </c>
      <c r="E56" s="30">
        <v>0.13</v>
      </c>
      <c r="F56" s="30">
        <v>27502.56</v>
      </c>
      <c r="G56" s="15">
        <v>0.15</v>
      </c>
      <c r="H56" s="15">
        <v>48969.84</v>
      </c>
      <c r="I56" s="30">
        <v>0.12</v>
      </c>
      <c r="K56" s="39"/>
      <c r="O56" s="18"/>
      <c r="P56" s="13" t="s">
        <v>56</v>
      </c>
      <c r="Q56" s="15">
        <v>87.0</v>
      </c>
      <c r="R56" s="15">
        <v>-9412.83</v>
      </c>
      <c r="S56" s="15">
        <v>423.0</v>
      </c>
      <c r="T56" s="30">
        <v>24628.05</v>
      </c>
      <c r="U56" s="31">
        <v>510.0</v>
      </c>
      <c r="V56" s="31">
        <v>15215.22</v>
      </c>
      <c r="Y56" s="13" t="s">
        <v>14</v>
      </c>
      <c r="Z56" s="15" t="s">
        <v>35</v>
      </c>
      <c r="AA56" s="15" t="s">
        <v>0</v>
      </c>
      <c r="AB56" s="15" t="s">
        <v>6</v>
      </c>
      <c r="AC56" s="15" t="s">
        <v>35</v>
      </c>
      <c r="AD56" s="15" t="s">
        <v>0</v>
      </c>
      <c r="AE56" s="15" t="s">
        <v>6</v>
      </c>
      <c r="AF56" s="15" t="s">
        <v>35</v>
      </c>
      <c r="AG56" s="15" t="s">
        <v>0</v>
      </c>
      <c r="AH56" s="15" t="s">
        <v>6</v>
      </c>
      <c r="AI56" s="15" t="s">
        <v>35</v>
      </c>
      <c r="AJ56" s="15" t="s">
        <v>0</v>
      </c>
      <c r="AK56" s="15" t="s">
        <v>6</v>
      </c>
    </row>
    <row r="57" ht="22.5" customHeight="1">
      <c r="A57" s="29" t="s">
        <v>43</v>
      </c>
      <c r="B57" s="31">
        <v>797.35</v>
      </c>
      <c r="C57" s="30">
        <v>0.04</v>
      </c>
      <c r="D57" s="15">
        <v>6423.52</v>
      </c>
      <c r="E57" s="30">
        <v>0.17</v>
      </c>
      <c r="F57" s="30">
        <v>8670.89</v>
      </c>
      <c r="G57" s="15">
        <v>0.14</v>
      </c>
      <c r="H57" s="15">
        <v>15891.76</v>
      </c>
      <c r="I57" s="30">
        <v>0.14</v>
      </c>
      <c r="K57" s="39"/>
      <c r="O57" s="18"/>
      <c r="P57" s="13" t="s">
        <v>61</v>
      </c>
      <c r="Q57" s="15">
        <v>44.0</v>
      </c>
      <c r="R57" s="15">
        <v>-5623.75</v>
      </c>
      <c r="S57" s="15">
        <v>228.0</v>
      </c>
      <c r="T57" s="30">
        <v>10244.38</v>
      </c>
      <c r="U57" s="31">
        <v>272.0</v>
      </c>
      <c r="V57" s="31">
        <v>4620.63</v>
      </c>
      <c r="Y57" s="13" t="s">
        <v>27</v>
      </c>
      <c r="Z57" s="15">
        <v>689.0</v>
      </c>
      <c r="AA57" s="15">
        <v>245165.77</v>
      </c>
      <c r="AB57" s="15">
        <v>0.04</v>
      </c>
      <c r="AC57" s="15">
        <v>1923.0</v>
      </c>
      <c r="AD57" s="15">
        <v>224667.35</v>
      </c>
      <c r="AE57" s="15">
        <v>0.17</v>
      </c>
      <c r="AF57" s="15">
        <v>615.0</v>
      </c>
      <c r="AG57" s="15">
        <v>296175.33</v>
      </c>
      <c r="AH57" s="15">
        <v>0.15</v>
      </c>
      <c r="AI57" s="15">
        <v>3227.0</v>
      </c>
      <c r="AJ57" s="15">
        <v>766008.45</v>
      </c>
      <c r="AK57" s="15">
        <v>0.14</v>
      </c>
    </row>
    <row r="58" ht="22.5" customHeight="1">
      <c r="A58" s="29" t="s">
        <v>47</v>
      </c>
      <c r="B58" s="31">
        <v>4226.26</v>
      </c>
      <c r="C58" s="30">
        <v>0.03</v>
      </c>
      <c r="D58" s="15">
        <v>27068.17</v>
      </c>
      <c r="E58" s="30">
        <v>0.19</v>
      </c>
      <c r="F58" s="30">
        <v>26152.21</v>
      </c>
      <c r="G58" s="15">
        <v>0.17</v>
      </c>
      <c r="H58" s="15">
        <v>57446.64</v>
      </c>
      <c r="I58" s="30">
        <v>0.15</v>
      </c>
      <c r="O58" s="13" t="s">
        <v>117</v>
      </c>
      <c r="P58" s="18"/>
      <c r="Q58" s="15">
        <v>259.0</v>
      </c>
      <c r="R58" s="15">
        <v>-27504.83</v>
      </c>
      <c r="S58" s="15">
        <v>1361.0</v>
      </c>
      <c r="T58" s="30">
        <v>74254.26</v>
      </c>
      <c r="U58" s="31">
        <v>1620.0</v>
      </c>
      <c r="V58" s="31">
        <v>46749.43</v>
      </c>
      <c r="Y58" s="13" t="s">
        <v>28</v>
      </c>
      <c r="Z58" s="15">
        <v>1302.0</v>
      </c>
      <c r="AA58" s="15">
        <v>453831.73</v>
      </c>
      <c r="AB58" s="15">
        <v>0.03</v>
      </c>
      <c r="AC58" s="15">
        <v>3719.0</v>
      </c>
      <c r="AD58" s="15">
        <v>437057.71</v>
      </c>
      <c r="AE58" s="15">
        <v>0.12</v>
      </c>
      <c r="AF58" s="15">
        <v>1124.0</v>
      </c>
      <c r="AG58" s="15">
        <v>475323.85</v>
      </c>
      <c r="AH58" s="15">
        <v>0.16</v>
      </c>
      <c r="AI58" s="15">
        <v>6145.0</v>
      </c>
      <c r="AJ58" s="15">
        <v>1366213.29</v>
      </c>
      <c r="AK58" s="15">
        <v>0.11</v>
      </c>
    </row>
    <row r="59" ht="22.5" customHeight="1">
      <c r="A59" s="29" t="s">
        <v>49</v>
      </c>
      <c r="B59" s="31">
        <v>10372.77</v>
      </c>
      <c r="C59" s="30">
        <v>0.04</v>
      </c>
      <c r="D59" s="15">
        <v>70598.78</v>
      </c>
      <c r="E59" s="30">
        <v>0.12</v>
      </c>
      <c r="F59" s="30">
        <v>83129.29</v>
      </c>
      <c r="G59" s="15">
        <v>0.16</v>
      </c>
      <c r="H59" s="15">
        <v>164100.85</v>
      </c>
      <c r="I59" s="30">
        <v>0.11</v>
      </c>
      <c r="O59" s="13" t="s">
        <v>44</v>
      </c>
      <c r="P59" s="13" t="s">
        <v>54</v>
      </c>
      <c r="Q59" s="15">
        <v>171.0</v>
      </c>
      <c r="R59" s="15">
        <v>-9895.35</v>
      </c>
      <c r="S59" s="15">
        <v>1501.0</v>
      </c>
      <c r="T59" s="30">
        <v>67345.96</v>
      </c>
      <c r="U59" s="31">
        <v>1672.0</v>
      </c>
      <c r="V59" s="31">
        <v>57450.6</v>
      </c>
      <c r="Y59" s="13" t="s">
        <v>29</v>
      </c>
      <c r="Z59" s="15">
        <v>129.0</v>
      </c>
      <c r="AA59" s="15">
        <v>42720.92</v>
      </c>
      <c r="AB59" s="15">
        <v>0.07</v>
      </c>
      <c r="AC59" s="15">
        <v>384.0</v>
      </c>
      <c r="AD59" s="15">
        <v>57321.98</v>
      </c>
      <c r="AE59" s="15">
        <v>0.12</v>
      </c>
      <c r="AF59" s="15">
        <v>108.0</v>
      </c>
      <c r="AG59" s="15">
        <v>64654.85</v>
      </c>
      <c r="AH59" s="15">
        <v>0.13</v>
      </c>
      <c r="AI59" s="15">
        <v>621.0</v>
      </c>
      <c r="AJ59" s="15">
        <v>164697.75</v>
      </c>
      <c r="AK59" s="15">
        <v>0.11</v>
      </c>
    </row>
    <row r="60" ht="22.5" customHeight="1">
      <c r="A60" s="29" t="s">
        <v>24</v>
      </c>
      <c r="B60" s="31">
        <v>18463.33</v>
      </c>
      <c r="C60" s="30">
        <v>0.04</v>
      </c>
      <c r="D60" s="15">
        <v>122490.8</v>
      </c>
      <c r="E60" s="30">
        <v>0.14</v>
      </c>
      <c r="F60" s="30">
        <v>145454.95</v>
      </c>
      <c r="G60" s="15">
        <v>0.16</v>
      </c>
      <c r="H60" s="15">
        <v>286409.08</v>
      </c>
      <c r="I60" s="30">
        <v>0.12</v>
      </c>
      <c r="O60" s="18"/>
      <c r="P60" s="13" t="s">
        <v>56</v>
      </c>
      <c r="Q60" s="15">
        <v>93.0</v>
      </c>
      <c r="R60" s="15">
        <v>-5254.74</v>
      </c>
      <c r="S60" s="15">
        <v>867.0</v>
      </c>
      <c r="T60" s="30">
        <v>39692.17</v>
      </c>
      <c r="U60" s="31">
        <v>960.0</v>
      </c>
      <c r="V60" s="31">
        <v>34437.43</v>
      </c>
      <c r="Y60" s="13" t="s">
        <v>24</v>
      </c>
      <c r="Z60" s="15">
        <v>2120.0</v>
      </c>
      <c r="AA60" s="15">
        <v>741718.42</v>
      </c>
      <c r="AB60" s="15">
        <v>0.04</v>
      </c>
      <c r="AC60" s="15">
        <v>6026.0</v>
      </c>
      <c r="AD60" s="15">
        <v>719047.03</v>
      </c>
      <c r="AE60" s="15">
        <v>0.14</v>
      </c>
      <c r="AF60" s="15">
        <v>1847.0</v>
      </c>
      <c r="AG60" s="15">
        <v>836154.03</v>
      </c>
      <c r="AH60" s="15">
        <v>0.16</v>
      </c>
      <c r="AI60" s="15">
        <v>9993.0</v>
      </c>
      <c r="AJ60" s="15">
        <v>2296919.49</v>
      </c>
      <c r="AK60" s="15">
        <v>0.12</v>
      </c>
    </row>
    <row r="61" ht="22.5" customHeight="1">
      <c r="O61" s="18"/>
      <c r="P61" s="13" t="s">
        <v>61</v>
      </c>
      <c r="Q61" s="15">
        <v>54.0</v>
      </c>
      <c r="R61" s="15">
        <v>-7570.87</v>
      </c>
      <c r="S61" s="15">
        <v>517.0</v>
      </c>
      <c r="T61" s="30">
        <v>24101.28</v>
      </c>
      <c r="U61" s="31">
        <v>571.0</v>
      </c>
      <c r="V61" s="31">
        <v>16530.42</v>
      </c>
      <c r="AE61" s="14"/>
      <c r="AF61" s="14"/>
      <c r="AG61" s="14"/>
      <c r="AH61" s="39"/>
      <c r="AI61" s="39"/>
    </row>
    <row r="62" ht="22.5" customHeight="1">
      <c r="O62" s="13" t="s">
        <v>118</v>
      </c>
      <c r="P62" s="18"/>
      <c r="Q62" s="15">
        <v>318.0</v>
      </c>
      <c r="R62" s="15">
        <v>-22720.96</v>
      </c>
      <c r="S62" s="15">
        <v>2885.0</v>
      </c>
      <c r="T62" s="30">
        <v>131139.41</v>
      </c>
      <c r="U62" s="31">
        <v>3203.0</v>
      </c>
      <c r="V62" s="31">
        <v>108418.45</v>
      </c>
      <c r="AE62" s="14"/>
      <c r="AF62" s="14"/>
      <c r="AG62" s="14"/>
      <c r="AH62" s="39"/>
      <c r="AI62" s="39"/>
    </row>
    <row r="63" ht="22.5" customHeight="1">
      <c r="A63" s="8" t="s">
        <v>2</v>
      </c>
      <c r="B63" s="46" t="s">
        <v>3</v>
      </c>
      <c r="C63" s="10" t="s">
        <v>59</v>
      </c>
      <c r="D63" s="10" t="s">
        <v>15</v>
      </c>
      <c r="E63" s="3" t="s">
        <v>4</v>
      </c>
      <c r="F63" s="4" t="s">
        <v>16</v>
      </c>
      <c r="G63" s="4" t="s">
        <v>17</v>
      </c>
      <c r="H63" s="4" t="s">
        <v>18</v>
      </c>
      <c r="I63" s="4" t="s">
        <v>19</v>
      </c>
      <c r="O63" s="13" t="s">
        <v>24</v>
      </c>
      <c r="P63" s="18"/>
      <c r="Q63" s="15">
        <v>1870.0</v>
      </c>
      <c r="R63" s="15">
        <v>-156119.23</v>
      </c>
      <c r="S63" s="15">
        <v>8123.0</v>
      </c>
      <c r="T63" s="30">
        <v>442528.31</v>
      </c>
      <c r="U63" s="31">
        <v>9993.0</v>
      </c>
      <c r="V63" s="31">
        <v>286409.08</v>
      </c>
      <c r="Y63" s="4" t="s">
        <v>2</v>
      </c>
      <c r="Z63" s="6" t="s">
        <v>20</v>
      </c>
      <c r="AA63" s="40" t="s">
        <v>15</v>
      </c>
      <c r="AB63" s="40" t="s">
        <v>3</v>
      </c>
      <c r="AC63" s="3" t="s">
        <v>4</v>
      </c>
      <c r="AD63" s="3" t="s">
        <v>16</v>
      </c>
      <c r="AE63" s="3" t="s">
        <v>17</v>
      </c>
      <c r="AF63" s="3" t="s">
        <v>18</v>
      </c>
      <c r="AG63" s="3" t="s">
        <v>19</v>
      </c>
      <c r="AH63" s="3" t="s">
        <v>60</v>
      </c>
      <c r="AI63" s="3" t="s">
        <v>90</v>
      </c>
    </row>
    <row r="64" ht="22.5" customHeight="1">
      <c r="A64" s="17"/>
      <c r="B64" s="47"/>
      <c r="C64" s="13" t="s">
        <v>63</v>
      </c>
      <c r="D64" s="19"/>
      <c r="E64" s="13" t="s">
        <v>64</v>
      </c>
      <c r="F64" s="19"/>
      <c r="G64" s="19"/>
      <c r="H64" s="13" t="s">
        <v>24</v>
      </c>
      <c r="I64" s="19"/>
      <c r="Y64" s="23"/>
      <c r="Z64" s="13" t="s">
        <v>30</v>
      </c>
      <c r="AA64" s="41"/>
      <c r="AB64" s="22" t="s">
        <v>36</v>
      </c>
      <c r="AC64" s="18"/>
      <c r="AD64" s="13" t="s">
        <v>40</v>
      </c>
      <c r="AE64" s="18"/>
      <c r="AF64" s="13" t="s">
        <v>44</v>
      </c>
      <c r="AG64" s="18"/>
      <c r="AH64" s="13" t="s">
        <v>24</v>
      </c>
    </row>
    <row r="65" ht="22.5" customHeight="1">
      <c r="A65" s="11" t="s">
        <v>1</v>
      </c>
      <c r="B65" s="12" t="s">
        <v>9</v>
      </c>
      <c r="C65" s="13" t="s">
        <v>5</v>
      </c>
      <c r="D65" s="13" t="s">
        <v>67</v>
      </c>
      <c r="E65" s="13" t="s">
        <v>5</v>
      </c>
      <c r="F65" s="13" t="s">
        <v>67</v>
      </c>
      <c r="G65" s="13"/>
      <c r="H65" s="13" t="s">
        <v>5</v>
      </c>
      <c r="I65" s="13" t="s">
        <v>67</v>
      </c>
      <c r="Y65" s="13" t="s">
        <v>51</v>
      </c>
      <c r="Z65" s="15" t="s">
        <v>119</v>
      </c>
      <c r="AA65" s="24" t="s">
        <v>120</v>
      </c>
      <c r="AB65" s="24" t="s">
        <v>119</v>
      </c>
      <c r="AC65" s="15" t="s">
        <v>120</v>
      </c>
      <c r="AD65" s="15" t="s">
        <v>119</v>
      </c>
      <c r="AE65" s="15" t="s">
        <v>120</v>
      </c>
      <c r="AF65" s="15" t="s">
        <v>119</v>
      </c>
      <c r="AG65" s="15" t="s">
        <v>120</v>
      </c>
      <c r="AH65" s="15" t="s">
        <v>119</v>
      </c>
      <c r="AI65" s="15" t="s">
        <v>120</v>
      </c>
    </row>
    <row r="66" ht="22.5" customHeight="1">
      <c r="A66" s="11" t="s">
        <v>21</v>
      </c>
      <c r="B66" s="12" t="s">
        <v>25</v>
      </c>
      <c r="C66" s="15">
        <v>-12152.21</v>
      </c>
      <c r="D66" s="15">
        <v>109.0</v>
      </c>
      <c r="E66" s="15">
        <v>8679.65</v>
      </c>
      <c r="F66" s="15">
        <v>119.0</v>
      </c>
      <c r="G66" s="15"/>
      <c r="H66" s="15">
        <v>-3472.56</v>
      </c>
      <c r="I66" s="15">
        <v>228.0</v>
      </c>
      <c r="O66" s="3" t="s">
        <v>2</v>
      </c>
      <c r="P66" s="3" t="s">
        <v>3</v>
      </c>
      <c r="Q66" s="10" t="s">
        <v>59</v>
      </c>
      <c r="R66" s="10" t="s">
        <v>15</v>
      </c>
      <c r="S66" s="3" t="s">
        <v>4</v>
      </c>
      <c r="T66" s="3" t="s">
        <v>16</v>
      </c>
      <c r="U66" s="3" t="s">
        <v>17</v>
      </c>
      <c r="V66" s="3" t="s">
        <v>18</v>
      </c>
      <c r="Y66" s="13" t="s">
        <v>54</v>
      </c>
      <c r="Z66" s="15">
        <v>16.0</v>
      </c>
      <c r="AA66" s="24">
        <v>1212.0</v>
      </c>
      <c r="AB66" s="24">
        <v>16.0</v>
      </c>
      <c r="AC66" s="15">
        <v>1469.0</v>
      </c>
      <c r="AD66" s="15">
        <v>15.0</v>
      </c>
      <c r="AE66" s="15">
        <v>838.0</v>
      </c>
      <c r="AF66" s="15">
        <v>16.0</v>
      </c>
      <c r="AG66" s="15">
        <v>1672.0</v>
      </c>
      <c r="AH66" s="15">
        <v>16.0</v>
      </c>
      <c r="AI66" s="15">
        <v>5191.0</v>
      </c>
    </row>
    <row r="67" ht="22.5" customHeight="1">
      <c r="A67" s="48"/>
      <c r="B67" s="12" t="s">
        <v>31</v>
      </c>
      <c r="C67" s="15">
        <v>-9868.78</v>
      </c>
      <c r="D67" s="15">
        <v>234.0</v>
      </c>
      <c r="E67" s="15">
        <v>36471.01</v>
      </c>
      <c r="F67" s="15">
        <v>382.0</v>
      </c>
      <c r="G67" s="15"/>
      <c r="H67" s="15">
        <v>26602.23</v>
      </c>
      <c r="I67" s="15">
        <v>616.0</v>
      </c>
      <c r="Q67" s="13" t="s">
        <v>63</v>
      </c>
      <c r="R67" s="18"/>
      <c r="S67" s="13" t="s">
        <v>64</v>
      </c>
      <c r="T67" s="18"/>
      <c r="U67" s="13" t="s">
        <v>24</v>
      </c>
      <c r="Y67" s="13" t="s">
        <v>56</v>
      </c>
      <c r="Z67" s="15">
        <v>16.0</v>
      </c>
      <c r="AA67" s="24">
        <v>673.0</v>
      </c>
      <c r="AB67" s="24">
        <v>16.0</v>
      </c>
      <c r="AC67" s="15">
        <v>877.0</v>
      </c>
      <c r="AD67" s="15">
        <v>16.0</v>
      </c>
      <c r="AE67" s="15">
        <v>510.0</v>
      </c>
      <c r="AF67" s="15">
        <v>16.0</v>
      </c>
      <c r="AG67" s="15">
        <v>960.0</v>
      </c>
      <c r="AH67" s="15">
        <v>16.0</v>
      </c>
      <c r="AI67" s="15">
        <v>3020.0</v>
      </c>
    </row>
    <row r="68" ht="22.5" customHeight="1">
      <c r="A68" s="48"/>
      <c r="B68" s="12" t="s">
        <v>37</v>
      </c>
      <c r="C68" s="15">
        <v>-6490.91</v>
      </c>
      <c r="D68" s="15">
        <v>167.0</v>
      </c>
      <c r="E68" s="15">
        <v>19550.06</v>
      </c>
      <c r="F68" s="15">
        <v>790.0</v>
      </c>
      <c r="G68" s="15"/>
      <c r="H68" s="15">
        <v>13059.14</v>
      </c>
      <c r="I68" s="15">
        <v>957.0</v>
      </c>
      <c r="O68" s="13" t="s">
        <v>33</v>
      </c>
      <c r="P68" s="13" t="s">
        <v>14</v>
      </c>
      <c r="Q68" s="13" t="s">
        <v>67</v>
      </c>
      <c r="R68" s="13" t="s">
        <v>5</v>
      </c>
      <c r="S68" s="13" t="s">
        <v>67</v>
      </c>
      <c r="T68" s="13" t="s">
        <v>5</v>
      </c>
      <c r="U68" s="13" t="s">
        <v>67</v>
      </c>
      <c r="V68" s="13" t="s">
        <v>5</v>
      </c>
      <c r="Y68" s="13" t="s">
        <v>61</v>
      </c>
      <c r="Z68" s="15">
        <v>16.0</v>
      </c>
      <c r="AA68" s="24">
        <v>438.0</v>
      </c>
      <c r="AB68" s="24">
        <v>15.0</v>
      </c>
      <c r="AC68" s="15">
        <v>501.0</v>
      </c>
      <c r="AD68" s="15">
        <v>16.0</v>
      </c>
      <c r="AE68" s="15">
        <v>272.0</v>
      </c>
      <c r="AF68" s="15">
        <v>14.0</v>
      </c>
      <c r="AG68" s="15">
        <v>571.0</v>
      </c>
      <c r="AH68" s="15">
        <v>15.0</v>
      </c>
      <c r="AI68" s="15">
        <v>1782.0</v>
      </c>
    </row>
    <row r="69" ht="22.5" customHeight="1">
      <c r="A69" s="48"/>
      <c r="B69" s="12" t="s">
        <v>41</v>
      </c>
      <c r="C69" s="15">
        <v>-32412.15</v>
      </c>
      <c r="D69" s="15">
        <v>203.0</v>
      </c>
      <c r="E69" s="15">
        <v>14686.67</v>
      </c>
      <c r="F69" s="15">
        <v>116.0</v>
      </c>
      <c r="G69" s="15"/>
      <c r="H69" s="15">
        <v>-17725.48</v>
      </c>
      <c r="I69" s="15">
        <v>319.0</v>
      </c>
      <c r="O69" s="13" t="s">
        <v>39</v>
      </c>
      <c r="P69" s="13" t="s">
        <v>27</v>
      </c>
      <c r="Q69" s="15">
        <v>293.0</v>
      </c>
      <c r="R69" s="15">
        <v>-22660.27</v>
      </c>
      <c r="S69" s="15">
        <v>1244.0</v>
      </c>
      <c r="T69" s="15">
        <v>71626.71</v>
      </c>
      <c r="U69" s="15">
        <v>1537.0</v>
      </c>
      <c r="V69" s="15">
        <v>48966.44</v>
      </c>
      <c r="Y69" s="13" t="s">
        <v>24</v>
      </c>
      <c r="Z69" s="15">
        <v>16.0</v>
      </c>
      <c r="AA69" s="24">
        <v>2323.0</v>
      </c>
      <c r="AB69" s="24">
        <v>16.0</v>
      </c>
      <c r="AC69" s="15">
        <v>2847.0</v>
      </c>
      <c r="AD69" s="15">
        <v>16.0</v>
      </c>
      <c r="AE69" s="15">
        <v>1620.0</v>
      </c>
      <c r="AF69" s="15">
        <v>16.0</v>
      </c>
      <c r="AG69" s="15">
        <v>3203.0</v>
      </c>
      <c r="AH69" s="15">
        <v>16.0</v>
      </c>
      <c r="AI69" s="15">
        <v>9993.0</v>
      </c>
    </row>
    <row r="70" ht="22.5" customHeight="1">
      <c r="A70" s="11" t="s">
        <v>45</v>
      </c>
      <c r="B70" s="47"/>
      <c r="C70" s="15">
        <v>-60924.05</v>
      </c>
      <c r="D70" s="15">
        <v>713.0</v>
      </c>
      <c r="E70" s="15">
        <v>79387.38</v>
      </c>
      <c r="F70" s="15">
        <v>1407.0</v>
      </c>
      <c r="G70" s="15"/>
      <c r="H70" s="15">
        <v>18463.33</v>
      </c>
      <c r="I70" s="15">
        <v>2120.0</v>
      </c>
      <c r="O70" s="18"/>
      <c r="P70" s="13" t="s">
        <v>28</v>
      </c>
      <c r="S70" s="15">
        <v>1.0</v>
      </c>
      <c r="T70" s="15">
        <v>3.4</v>
      </c>
      <c r="U70" s="15">
        <v>1.0</v>
      </c>
      <c r="V70" s="15">
        <v>3.4</v>
      </c>
      <c r="AI70" s="49"/>
    </row>
    <row r="71" ht="22.5" customHeight="1">
      <c r="A71" s="11" t="s">
        <v>22</v>
      </c>
      <c r="B71" s="12" t="s">
        <v>48</v>
      </c>
      <c r="C71" s="15">
        <v>-8629.64</v>
      </c>
      <c r="D71" s="15">
        <v>67.0</v>
      </c>
      <c r="E71" s="15">
        <v>26767.65</v>
      </c>
      <c r="F71" s="15">
        <v>399.0</v>
      </c>
      <c r="G71" s="15"/>
      <c r="H71" s="15">
        <v>18138.01</v>
      </c>
      <c r="I71" s="15">
        <v>466.0</v>
      </c>
      <c r="O71" s="13" t="s">
        <v>121</v>
      </c>
      <c r="P71" s="18"/>
      <c r="Q71" s="15">
        <v>293.0</v>
      </c>
      <c r="R71" s="15">
        <v>-22660.27</v>
      </c>
      <c r="S71" s="15">
        <v>1245.0</v>
      </c>
      <c r="T71" s="15">
        <v>71630.11</v>
      </c>
      <c r="U71" s="15">
        <v>1538.0</v>
      </c>
      <c r="V71" s="15">
        <v>48969.84</v>
      </c>
      <c r="AI71" s="49"/>
    </row>
    <row r="72" ht="22.5" customHeight="1">
      <c r="A72" s="48"/>
      <c r="B72" s="12" t="s">
        <v>50</v>
      </c>
      <c r="D72" s="23"/>
      <c r="E72" s="15">
        <v>6527.79</v>
      </c>
      <c r="F72" s="15">
        <v>796.0</v>
      </c>
      <c r="G72" s="15"/>
      <c r="H72" s="15">
        <v>6527.79</v>
      </c>
      <c r="I72" s="15">
        <v>796.0</v>
      </c>
      <c r="O72" s="13" t="s">
        <v>43</v>
      </c>
      <c r="P72" s="13" t="s">
        <v>27</v>
      </c>
      <c r="Q72" s="15">
        <v>98.0</v>
      </c>
      <c r="R72" s="15">
        <v>-8898.11</v>
      </c>
      <c r="S72" s="15">
        <v>445.0</v>
      </c>
      <c r="T72" s="15">
        <v>24789.86</v>
      </c>
      <c r="U72" s="15">
        <v>543.0</v>
      </c>
      <c r="V72" s="15">
        <v>15891.76</v>
      </c>
      <c r="Y72" s="3" t="s">
        <v>2</v>
      </c>
      <c r="Z72" s="6" t="s">
        <v>20</v>
      </c>
      <c r="AA72" s="10" t="s">
        <v>15</v>
      </c>
      <c r="AB72" s="3" t="s">
        <v>3</v>
      </c>
      <c r="AC72" s="3" t="s">
        <v>4</v>
      </c>
      <c r="AD72" s="3" t="s">
        <v>16</v>
      </c>
      <c r="AE72" s="26" t="s">
        <v>17</v>
      </c>
      <c r="AF72" s="27" t="s">
        <v>18</v>
      </c>
      <c r="AG72" s="27" t="s">
        <v>19</v>
      </c>
      <c r="AH72" s="26" t="s">
        <v>60</v>
      </c>
      <c r="AI72" s="32" t="s">
        <v>90</v>
      </c>
    </row>
    <row r="73" ht="22.5" customHeight="1">
      <c r="A73" s="48"/>
      <c r="B73" s="12" t="s">
        <v>52</v>
      </c>
      <c r="C73" s="15">
        <v>-38510.5</v>
      </c>
      <c r="D73" s="15">
        <v>613.0</v>
      </c>
      <c r="E73" s="15">
        <v>68732.26</v>
      </c>
      <c r="F73" s="15">
        <v>910.0</v>
      </c>
      <c r="G73" s="15"/>
      <c r="H73" s="15">
        <v>30221.76</v>
      </c>
      <c r="I73" s="15">
        <v>1523.0</v>
      </c>
      <c r="O73" s="13" t="s">
        <v>122</v>
      </c>
      <c r="P73" s="18"/>
      <c r="Q73" s="15">
        <v>98.0</v>
      </c>
      <c r="R73" s="15">
        <v>-8898.11</v>
      </c>
      <c r="S73" s="15">
        <v>445.0</v>
      </c>
      <c r="T73" s="15">
        <v>24789.86</v>
      </c>
      <c r="U73" s="15">
        <v>543.0</v>
      </c>
      <c r="V73" s="15">
        <v>15891.76</v>
      </c>
      <c r="Z73" s="13" t="s">
        <v>30</v>
      </c>
      <c r="AA73" s="18"/>
      <c r="AB73" s="13" t="s">
        <v>36</v>
      </c>
      <c r="AC73" s="18"/>
      <c r="AD73" s="13" t="s">
        <v>40</v>
      </c>
      <c r="AE73" s="34"/>
      <c r="AF73" s="29" t="s">
        <v>44</v>
      </c>
      <c r="AG73" s="35"/>
      <c r="AH73" s="28" t="s">
        <v>24</v>
      </c>
      <c r="AI73" s="33"/>
    </row>
    <row r="74" ht="22.5" customHeight="1">
      <c r="A74" s="48"/>
      <c r="B74" s="12" t="s">
        <v>55</v>
      </c>
      <c r="D74" s="23"/>
      <c r="E74" s="15">
        <v>6964.18</v>
      </c>
      <c r="F74" s="15">
        <v>254.0</v>
      </c>
      <c r="G74" s="15"/>
      <c r="H74" s="15">
        <v>6964.18</v>
      </c>
      <c r="I74" s="15">
        <v>254.0</v>
      </c>
      <c r="J74" s="39"/>
      <c r="O74" s="13" t="s">
        <v>47</v>
      </c>
      <c r="P74" s="13" t="s">
        <v>27</v>
      </c>
      <c r="Q74" s="15">
        <v>170.0</v>
      </c>
      <c r="R74" s="15">
        <v>-13842.8</v>
      </c>
      <c r="S74" s="15">
        <v>975.0</v>
      </c>
      <c r="T74" s="15">
        <v>51933.0</v>
      </c>
      <c r="U74" s="15">
        <v>1145.0</v>
      </c>
      <c r="V74" s="15">
        <v>38090.2</v>
      </c>
      <c r="Y74" s="13" t="s">
        <v>123</v>
      </c>
      <c r="Z74" s="15" t="s">
        <v>124</v>
      </c>
      <c r="AA74" s="15" t="s">
        <v>120</v>
      </c>
      <c r="AB74" s="15" t="s">
        <v>124</v>
      </c>
      <c r="AC74" s="15" t="s">
        <v>120</v>
      </c>
      <c r="AD74" s="15" t="s">
        <v>124</v>
      </c>
      <c r="AE74" s="30" t="s">
        <v>120</v>
      </c>
      <c r="AF74" s="31" t="s">
        <v>124</v>
      </c>
      <c r="AG74" s="31" t="s">
        <v>120</v>
      </c>
      <c r="AH74" s="30" t="s">
        <v>124</v>
      </c>
      <c r="AI74" s="15" t="s">
        <v>120</v>
      </c>
    </row>
    <row r="75" ht="22.5" customHeight="1">
      <c r="A75" s="48"/>
      <c r="B75" s="12" t="s">
        <v>57</v>
      </c>
      <c r="C75" s="15">
        <v>-33.2</v>
      </c>
      <c r="D75" s="15">
        <v>12.0</v>
      </c>
      <c r="E75" s="15">
        <v>982.71</v>
      </c>
      <c r="F75" s="15">
        <v>205.0</v>
      </c>
      <c r="G75" s="15"/>
      <c r="H75" s="15">
        <v>949.52</v>
      </c>
      <c r="I75" s="15">
        <v>217.0</v>
      </c>
      <c r="J75" s="39"/>
      <c r="O75" s="18"/>
      <c r="P75" s="13" t="s">
        <v>28</v>
      </c>
      <c r="Q75" s="15">
        <v>137.0</v>
      </c>
      <c r="R75" s="15">
        <v>-10381.58</v>
      </c>
      <c r="S75" s="15">
        <v>663.0</v>
      </c>
      <c r="T75" s="15">
        <v>29738.01</v>
      </c>
      <c r="U75" s="15">
        <v>800.0</v>
      </c>
      <c r="V75" s="15">
        <v>19356.44</v>
      </c>
      <c r="Y75" s="13" t="s">
        <v>125</v>
      </c>
      <c r="Z75" s="15">
        <v>3616.88</v>
      </c>
      <c r="AA75" s="15">
        <v>2284.0</v>
      </c>
      <c r="AB75" s="15">
        <v>3578.59</v>
      </c>
      <c r="AC75" s="15">
        <v>2811.0</v>
      </c>
      <c r="AD75" s="15">
        <v>3665.89</v>
      </c>
      <c r="AE75" s="30">
        <v>1593.0</v>
      </c>
      <c r="AF75" s="31">
        <v>3582.73</v>
      </c>
      <c r="AG75" s="31">
        <v>3178.0</v>
      </c>
      <c r="AH75" s="30">
        <v>3602.88</v>
      </c>
      <c r="AI75" s="15">
        <v>9866.0</v>
      </c>
    </row>
    <row r="76" ht="22.5" customHeight="1">
      <c r="A76" s="48"/>
      <c r="B76" s="12" t="s">
        <v>62</v>
      </c>
      <c r="D76" s="23"/>
      <c r="E76" s="15">
        <v>5546.25</v>
      </c>
      <c r="F76" s="15">
        <v>364.0</v>
      </c>
      <c r="G76" s="15"/>
      <c r="H76" s="15">
        <v>5546.25</v>
      </c>
      <c r="I76" s="15">
        <v>364.0</v>
      </c>
      <c r="J76" s="39"/>
      <c r="O76" s="13" t="s">
        <v>126</v>
      </c>
      <c r="P76" s="18"/>
      <c r="Q76" s="15">
        <v>307.0</v>
      </c>
      <c r="R76" s="15">
        <v>-24224.37</v>
      </c>
      <c r="S76" s="15">
        <v>1638.0</v>
      </c>
      <c r="T76" s="15">
        <v>81671.01</v>
      </c>
      <c r="U76" s="15">
        <v>1945.0</v>
      </c>
      <c r="V76" s="15">
        <v>57446.64</v>
      </c>
      <c r="Y76" s="13" t="s">
        <v>127</v>
      </c>
      <c r="Z76" s="15">
        <v>2983.09</v>
      </c>
      <c r="AA76" s="15">
        <v>39.0</v>
      </c>
      <c r="AB76" s="15">
        <v>2860.33</v>
      </c>
      <c r="AC76" s="15">
        <v>36.0</v>
      </c>
      <c r="AD76" s="15">
        <v>3006.18</v>
      </c>
      <c r="AE76" s="30">
        <v>27.0</v>
      </c>
      <c r="AF76" s="31">
        <v>2295.98</v>
      </c>
      <c r="AG76" s="31">
        <v>25.0</v>
      </c>
      <c r="AH76" s="30">
        <v>2817.94</v>
      </c>
      <c r="AI76" s="15">
        <v>127.0</v>
      </c>
    </row>
    <row r="77" ht="22.5" customHeight="1">
      <c r="A77" s="48"/>
      <c r="B77" s="12" t="s">
        <v>66</v>
      </c>
      <c r="D77" s="23"/>
      <c r="E77" s="15">
        <v>34053.57</v>
      </c>
      <c r="F77" s="15">
        <v>1370.0</v>
      </c>
      <c r="G77" s="15"/>
      <c r="H77" s="15">
        <v>34053.57</v>
      </c>
      <c r="I77" s="15">
        <v>1370.0</v>
      </c>
      <c r="J77" s="39"/>
      <c r="O77" s="13" t="s">
        <v>49</v>
      </c>
      <c r="P77" s="13" t="s">
        <v>27</v>
      </c>
      <c r="Q77" s="15">
        <v>1.0</v>
      </c>
      <c r="R77" s="15">
        <v>-28.22</v>
      </c>
      <c r="S77" s="15">
        <v>1.0</v>
      </c>
      <c r="T77" s="15">
        <v>1.06</v>
      </c>
      <c r="U77" s="15">
        <v>2.0</v>
      </c>
      <c r="V77" s="15">
        <v>-27.16</v>
      </c>
      <c r="Y77" s="13" t="s">
        <v>24</v>
      </c>
      <c r="Z77" s="15">
        <v>3606.24</v>
      </c>
      <c r="AA77" s="15">
        <v>2323.0</v>
      </c>
      <c r="AB77" s="15">
        <v>3569.51</v>
      </c>
      <c r="AC77" s="15">
        <v>2847.0</v>
      </c>
      <c r="AD77" s="15">
        <v>3654.9</v>
      </c>
      <c r="AE77" s="30">
        <v>1620.0</v>
      </c>
      <c r="AF77" s="31">
        <v>3572.69</v>
      </c>
      <c r="AG77" s="31">
        <v>3203.0</v>
      </c>
      <c r="AH77" s="30">
        <v>3592.91</v>
      </c>
      <c r="AI77" s="15">
        <v>9993.0</v>
      </c>
    </row>
    <row r="78" ht="22.5" customHeight="1">
      <c r="A78" s="48"/>
      <c r="B78" s="12" t="s">
        <v>68</v>
      </c>
      <c r="C78" s="15">
        <v>-6426.3</v>
      </c>
      <c r="D78" s="15">
        <v>161.0</v>
      </c>
      <c r="E78" s="15">
        <v>27705.13</v>
      </c>
      <c r="F78" s="15">
        <v>685.0</v>
      </c>
      <c r="G78" s="15"/>
      <c r="H78" s="15">
        <v>21278.83</v>
      </c>
      <c r="I78" s="15">
        <v>846.0</v>
      </c>
      <c r="J78" s="39"/>
      <c r="O78" s="18"/>
      <c r="P78" s="13" t="s">
        <v>28</v>
      </c>
      <c r="Q78" s="15">
        <v>1056.0</v>
      </c>
      <c r="R78" s="15">
        <v>-83816.52</v>
      </c>
      <c r="S78" s="15">
        <v>4288.0</v>
      </c>
      <c r="T78" s="15">
        <v>227612.68</v>
      </c>
      <c r="U78" s="15">
        <v>5344.0</v>
      </c>
      <c r="V78" s="15">
        <v>143796.16</v>
      </c>
    </row>
    <row r="79" ht="22.5" customHeight="1">
      <c r="A79" s="48"/>
      <c r="B79" s="12" t="s">
        <v>70</v>
      </c>
      <c r="C79" s="15">
        <v>-3015.62</v>
      </c>
      <c r="D79" s="15">
        <v>33.0</v>
      </c>
      <c r="E79" s="15">
        <v>1826.52</v>
      </c>
      <c r="F79" s="15">
        <v>157.0</v>
      </c>
      <c r="G79" s="15"/>
      <c r="H79" s="15">
        <v>-1189.1</v>
      </c>
      <c r="I79" s="15">
        <v>190.0</v>
      </c>
      <c r="J79" s="39"/>
      <c r="O79" s="18"/>
      <c r="P79" s="13" t="s">
        <v>29</v>
      </c>
      <c r="Q79" s="15">
        <v>115.0</v>
      </c>
      <c r="R79" s="15">
        <v>-16491.74</v>
      </c>
      <c r="S79" s="15">
        <v>506.0</v>
      </c>
      <c r="T79" s="15">
        <v>36823.58</v>
      </c>
      <c r="U79" s="15">
        <v>621.0</v>
      </c>
      <c r="V79" s="15">
        <v>20331.85</v>
      </c>
    </row>
    <row r="80" ht="22.5" customHeight="1">
      <c r="A80" s="11" t="s">
        <v>71</v>
      </c>
      <c r="B80" s="47"/>
      <c r="C80" s="15">
        <v>-56615.26</v>
      </c>
      <c r="D80" s="15">
        <v>886.0</v>
      </c>
      <c r="E80" s="15">
        <v>179106.06</v>
      </c>
      <c r="F80" s="15">
        <v>5140.0</v>
      </c>
      <c r="G80" s="15"/>
      <c r="H80" s="15">
        <v>122490.8</v>
      </c>
      <c r="I80" s="15">
        <v>6026.0</v>
      </c>
      <c r="J80" s="39"/>
      <c r="O80" s="13" t="s">
        <v>128</v>
      </c>
      <c r="P80" s="18"/>
      <c r="Q80" s="15">
        <v>1172.0</v>
      </c>
      <c r="R80" s="15">
        <v>-100336.48</v>
      </c>
      <c r="S80" s="15">
        <v>4795.0</v>
      </c>
      <c r="T80" s="15">
        <v>264437.32</v>
      </c>
      <c r="U80" s="15">
        <v>5967.0</v>
      </c>
      <c r="V80" s="15">
        <v>164100.85</v>
      </c>
    </row>
    <row r="81" ht="22.5" customHeight="1">
      <c r="A81" s="11" t="s">
        <v>23</v>
      </c>
      <c r="B81" s="12" t="s">
        <v>69</v>
      </c>
      <c r="C81" s="15">
        <v>-930.63</v>
      </c>
      <c r="D81" s="15">
        <v>91.0</v>
      </c>
      <c r="E81" s="15">
        <v>42867.26</v>
      </c>
      <c r="F81" s="15">
        <v>684.0</v>
      </c>
      <c r="G81" s="15"/>
      <c r="H81" s="15">
        <v>41936.64</v>
      </c>
      <c r="I81" s="15">
        <v>775.0</v>
      </c>
      <c r="J81" s="39"/>
      <c r="O81" s="13" t="s">
        <v>24</v>
      </c>
      <c r="P81" s="18"/>
      <c r="Q81" s="15">
        <v>1870.0</v>
      </c>
      <c r="R81" s="15">
        <v>-156119.23</v>
      </c>
      <c r="S81" s="15">
        <v>8123.0</v>
      </c>
      <c r="T81" s="15">
        <v>442528.31</v>
      </c>
      <c r="U81" s="15">
        <v>9993.0</v>
      </c>
      <c r="V81" s="15">
        <v>286409.08</v>
      </c>
    </row>
    <row r="82" ht="22.5" customHeight="1">
      <c r="A82" s="48"/>
      <c r="B82" s="12" t="s">
        <v>73</v>
      </c>
      <c r="D82" s="23"/>
      <c r="E82" s="15">
        <v>55617.82</v>
      </c>
      <c r="F82" s="15">
        <v>68.0</v>
      </c>
      <c r="G82" s="15"/>
      <c r="H82" s="15">
        <v>55617.82</v>
      </c>
      <c r="I82" s="15">
        <v>68.0</v>
      </c>
      <c r="J82" s="39"/>
    </row>
    <row r="83" ht="22.5" customHeight="1">
      <c r="A83" s="48"/>
      <c r="B83" s="12" t="s">
        <v>74</v>
      </c>
      <c r="C83" s="15">
        <v>-30118.67</v>
      </c>
      <c r="D83" s="15">
        <v>44.0</v>
      </c>
      <c r="E83" s="15">
        <v>33503.43</v>
      </c>
      <c r="F83" s="15">
        <v>71.0</v>
      </c>
      <c r="G83" s="15"/>
      <c r="H83" s="15">
        <v>3384.76</v>
      </c>
      <c r="I83" s="15">
        <v>115.0</v>
      </c>
      <c r="J83" s="39"/>
    </row>
    <row r="84" ht="22.5" customHeight="1">
      <c r="A84" s="48"/>
      <c r="B84" s="12" t="s">
        <v>75</v>
      </c>
      <c r="C84" s="15">
        <v>-7530.62</v>
      </c>
      <c r="D84" s="15">
        <v>136.0</v>
      </c>
      <c r="E84" s="15">
        <v>52046.35</v>
      </c>
      <c r="F84" s="15">
        <v>753.0</v>
      </c>
      <c r="G84" s="15"/>
      <c r="H84" s="15">
        <v>44515.73</v>
      </c>
      <c r="I84" s="15">
        <v>889.0</v>
      </c>
      <c r="J84" s="39"/>
    </row>
    <row r="85" ht="22.5" customHeight="1">
      <c r="A85" s="11" t="s">
        <v>76</v>
      </c>
      <c r="B85" s="47"/>
      <c r="C85" s="15">
        <v>-38579.92</v>
      </c>
      <c r="D85" s="15">
        <v>271.0</v>
      </c>
      <c r="E85" s="15">
        <v>184034.87</v>
      </c>
      <c r="F85" s="15">
        <v>1576.0</v>
      </c>
      <c r="G85" s="15"/>
      <c r="H85" s="15">
        <v>145454.95</v>
      </c>
      <c r="I85" s="15">
        <v>1847.0</v>
      </c>
      <c r="J85" s="39"/>
    </row>
    <row r="86" ht="22.5" customHeight="1">
      <c r="A86" s="11" t="s">
        <v>24</v>
      </c>
      <c r="B86" s="47"/>
      <c r="C86" s="15">
        <v>-156119.23</v>
      </c>
      <c r="D86" s="15">
        <v>1870.0</v>
      </c>
      <c r="E86" s="15">
        <v>442528.31</v>
      </c>
      <c r="F86" s="15">
        <v>8123.0</v>
      </c>
      <c r="G86" s="15"/>
      <c r="H86" s="15">
        <v>286409.08</v>
      </c>
      <c r="I86" s="15">
        <v>9993.0</v>
      </c>
      <c r="J86" s="39"/>
      <c r="L86" s="50" t="s">
        <v>129</v>
      </c>
      <c r="M86" s="50" t="s">
        <v>130</v>
      </c>
      <c r="N86" s="6" t="s">
        <v>64</v>
      </c>
      <c r="O86" s="7" t="s">
        <v>2</v>
      </c>
      <c r="P86" s="6" t="s">
        <v>131</v>
      </c>
      <c r="Q86" s="6" t="s">
        <v>132</v>
      </c>
      <c r="S86" s="6" t="s">
        <v>20</v>
      </c>
      <c r="T86" s="6" t="s">
        <v>130</v>
      </c>
      <c r="U86" s="6" t="s">
        <v>64</v>
      </c>
      <c r="W86" s="6" t="s">
        <v>1</v>
      </c>
      <c r="X86" s="6" t="s">
        <v>64</v>
      </c>
      <c r="Y86" s="6" t="s">
        <v>83</v>
      </c>
      <c r="Z86" s="6" t="s">
        <v>84</v>
      </c>
    </row>
    <row r="87" ht="22.5" customHeight="1">
      <c r="J87" s="39"/>
      <c r="L87" s="28" t="s">
        <v>133</v>
      </c>
      <c r="M87" s="30">
        <v>0.0</v>
      </c>
      <c r="N87" s="15">
        <v>3811.0</v>
      </c>
      <c r="P87" s="15" t="s">
        <v>134</v>
      </c>
      <c r="Q87" s="15">
        <v>7921.0</v>
      </c>
      <c r="S87" s="13" t="s">
        <v>30</v>
      </c>
      <c r="T87" s="15">
        <v>501240.0</v>
      </c>
      <c r="U87" s="15">
        <v>39706.0</v>
      </c>
      <c r="W87" s="13" t="s">
        <v>135</v>
      </c>
      <c r="X87" s="15">
        <v>79387.0</v>
      </c>
      <c r="Y87" s="15">
        <v>-31436.0</v>
      </c>
      <c r="Z87" s="15">
        <v>-29488.0</v>
      </c>
    </row>
    <row r="88" ht="22.5" customHeight="1">
      <c r="J88" s="39"/>
      <c r="L88" s="28" t="s">
        <v>136</v>
      </c>
      <c r="M88" s="30">
        <v>0.0</v>
      </c>
      <c r="N88" s="15">
        <v>11216.0</v>
      </c>
      <c r="P88" s="15" t="s">
        <v>137</v>
      </c>
      <c r="Q88" s="15">
        <v>2053.0</v>
      </c>
      <c r="S88" s="13" t="s">
        <v>36</v>
      </c>
      <c r="T88" s="15">
        <v>678500.0</v>
      </c>
      <c r="U88" s="15">
        <v>91535.0</v>
      </c>
      <c r="W88" s="13" t="s">
        <v>138</v>
      </c>
      <c r="X88" s="15">
        <v>179106.0</v>
      </c>
      <c r="Y88" s="15">
        <v>-37025.0</v>
      </c>
      <c r="Z88" s="15">
        <v>-19590.0</v>
      </c>
    </row>
    <row r="89" ht="22.5" customHeight="1">
      <c r="A89" s="6" t="s">
        <v>51</v>
      </c>
      <c r="B89" s="6" t="s">
        <v>123</v>
      </c>
      <c r="C89" s="6" t="s">
        <v>5</v>
      </c>
      <c r="D89" s="6" t="s">
        <v>6</v>
      </c>
      <c r="G89" s="6" t="s">
        <v>9</v>
      </c>
      <c r="H89" s="6" t="s">
        <v>7</v>
      </c>
      <c r="I89" s="6" t="s">
        <v>6</v>
      </c>
      <c r="J89" s="6" t="s">
        <v>0</v>
      </c>
      <c r="L89" s="28" t="s">
        <v>139</v>
      </c>
      <c r="M89" s="30">
        <v>143633.0</v>
      </c>
      <c r="N89" s="15">
        <v>12805.0</v>
      </c>
      <c r="P89" s="15" t="s">
        <v>140</v>
      </c>
      <c r="Q89" s="15">
        <v>10304.0</v>
      </c>
      <c r="S89" s="13" t="s">
        <v>40</v>
      </c>
      <c r="T89" s="15">
        <v>391722.0</v>
      </c>
      <c r="U89" s="15">
        <v>46749.0</v>
      </c>
      <c r="W89" s="13" t="s">
        <v>141</v>
      </c>
      <c r="X89" s="15">
        <v>184035.0</v>
      </c>
      <c r="Y89" s="15">
        <v>-30763.0</v>
      </c>
      <c r="Z89" s="15">
        <v>-7817.0</v>
      </c>
    </row>
    <row r="90" ht="22.5" customHeight="1">
      <c r="A90" s="13" t="s">
        <v>54</v>
      </c>
      <c r="B90" s="13" t="s">
        <v>125</v>
      </c>
      <c r="C90" s="15">
        <v>134199.98</v>
      </c>
      <c r="D90" s="15">
        <v>0.12</v>
      </c>
      <c r="F90" s="37"/>
      <c r="G90" s="13" t="s">
        <v>69</v>
      </c>
      <c r="H90" s="16">
        <v>0.08</v>
      </c>
      <c r="I90" s="15">
        <v>0.22</v>
      </c>
      <c r="J90" s="15">
        <v>167380.32</v>
      </c>
      <c r="L90" s="28" t="s">
        <v>142</v>
      </c>
      <c r="M90" s="30">
        <v>179628.0</v>
      </c>
      <c r="N90" s="15">
        <v>21724.0</v>
      </c>
      <c r="P90" s="15" t="s">
        <v>143</v>
      </c>
      <c r="Q90" s="15">
        <v>6550.0</v>
      </c>
      <c r="S90" s="13" t="s">
        <v>44</v>
      </c>
      <c r="T90" s="15">
        <v>725458.0</v>
      </c>
      <c r="U90" s="15">
        <v>108418.0</v>
      </c>
    </row>
    <row r="91" ht="22.5" customHeight="1">
      <c r="A91" s="18"/>
      <c r="B91" s="13" t="s">
        <v>127</v>
      </c>
      <c r="C91" s="15">
        <v>-80.77</v>
      </c>
      <c r="D91" s="15">
        <v>-0.5</v>
      </c>
      <c r="F91" s="37"/>
      <c r="G91" s="13" t="s">
        <v>48</v>
      </c>
      <c r="H91" s="16">
        <v>0.17</v>
      </c>
      <c r="I91" s="15">
        <v>-0.16</v>
      </c>
      <c r="J91" s="15">
        <v>107532.16</v>
      </c>
      <c r="L91" s="28" t="s">
        <v>144</v>
      </c>
      <c r="M91" s="30">
        <v>68852.0</v>
      </c>
      <c r="N91" s="15">
        <v>9265.0</v>
      </c>
      <c r="P91" s="15" t="s">
        <v>145</v>
      </c>
      <c r="Q91" s="15">
        <v>9001.0</v>
      </c>
    </row>
    <row r="92" ht="22.5" customHeight="1">
      <c r="A92" s="13" t="s">
        <v>146</v>
      </c>
      <c r="B92" s="18"/>
      <c r="C92" s="15">
        <v>134119.21</v>
      </c>
      <c r="D92" s="15">
        <v>0.11</v>
      </c>
      <c r="F92" s="37"/>
      <c r="G92" s="13" t="s">
        <v>50</v>
      </c>
      <c r="H92" s="16">
        <v>0.07</v>
      </c>
      <c r="I92" s="15">
        <v>0.25</v>
      </c>
      <c r="J92" s="15">
        <v>27118.79</v>
      </c>
      <c r="L92" s="28" t="s">
        <v>147</v>
      </c>
      <c r="M92" s="30">
        <v>89124.0</v>
      </c>
      <c r="N92" s="15">
        <v>12191.0</v>
      </c>
      <c r="P92" s="15" t="s">
        <v>148</v>
      </c>
      <c r="Q92" s="15">
        <v>8220.0</v>
      </c>
    </row>
    <row r="93" ht="22.5" customHeight="1">
      <c r="A93" s="13" t="s">
        <v>56</v>
      </c>
      <c r="B93" s="13" t="s">
        <v>125</v>
      </c>
      <c r="C93" s="15">
        <v>91996.45</v>
      </c>
      <c r="D93" s="15">
        <v>0.13</v>
      </c>
      <c r="F93" s="37"/>
      <c r="G93" s="13" t="s">
        <v>52</v>
      </c>
      <c r="H93" s="16">
        <v>0.37</v>
      </c>
      <c r="I93" s="15">
        <v>-0.2</v>
      </c>
      <c r="J93" s="15">
        <v>203412.73</v>
      </c>
      <c r="L93" s="28" t="s">
        <v>149</v>
      </c>
      <c r="M93" s="30">
        <v>130260.0</v>
      </c>
      <c r="N93" s="15">
        <v>16854.0</v>
      </c>
      <c r="P93" s="15" t="s">
        <v>150</v>
      </c>
      <c r="Q93" s="15">
        <v>8028.0</v>
      </c>
      <c r="S93" s="6" t="s">
        <v>51</v>
      </c>
      <c r="T93" s="6" t="s">
        <v>130</v>
      </c>
      <c r="V93" s="6" t="s">
        <v>1</v>
      </c>
      <c r="W93" s="6" t="s">
        <v>130</v>
      </c>
      <c r="X93" s="6" t="s">
        <v>64</v>
      </c>
    </row>
    <row r="94" ht="22.5" customHeight="1">
      <c r="A94" s="18"/>
      <c r="B94" s="13" t="s">
        <v>127</v>
      </c>
      <c r="C94" s="15">
        <v>-17.32</v>
      </c>
      <c r="D94" s="15">
        <v>-0.46</v>
      </c>
      <c r="F94" s="37"/>
      <c r="G94" s="13" t="s">
        <v>25</v>
      </c>
      <c r="H94" s="16">
        <v>0.21</v>
      </c>
      <c r="I94" s="15">
        <v>-0.13</v>
      </c>
      <c r="J94" s="15">
        <v>114880.0</v>
      </c>
      <c r="L94" s="28" t="s">
        <v>151</v>
      </c>
      <c r="M94" s="30">
        <v>182297.0</v>
      </c>
      <c r="N94" s="15">
        <v>23309.0</v>
      </c>
      <c r="P94" s="15" t="s">
        <v>152</v>
      </c>
      <c r="Q94" s="15">
        <v>6390.0</v>
      </c>
      <c r="S94" s="13" t="s">
        <v>54</v>
      </c>
      <c r="T94" s="15">
        <v>159169.0</v>
      </c>
      <c r="V94" s="13" t="s">
        <v>135</v>
      </c>
      <c r="W94" s="15">
        <v>8981.0</v>
      </c>
      <c r="X94" s="15">
        <v>-373.0</v>
      </c>
    </row>
    <row r="95" ht="22.5" customHeight="1">
      <c r="A95" s="13" t="s">
        <v>153</v>
      </c>
      <c r="B95" s="18"/>
      <c r="C95" s="15">
        <v>91979.13</v>
      </c>
      <c r="D95" s="15">
        <v>0.12</v>
      </c>
      <c r="F95" s="37"/>
      <c r="G95" s="13" t="s">
        <v>31</v>
      </c>
      <c r="H95" s="16">
        <v>0.17</v>
      </c>
      <c r="I95" s="15">
        <v>0.04</v>
      </c>
      <c r="J95" s="15">
        <v>328167.73</v>
      </c>
      <c r="L95" s="28" t="s">
        <v>154</v>
      </c>
      <c r="M95" s="30">
        <v>93237.0</v>
      </c>
      <c r="N95" s="15">
        <v>11441.0</v>
      </c>
      <c r="P95" s="15" t="s">
        <v>155</v>
      </c>
      <c r="Q95" s="15">
        <v>19208.0</v>
      </c>
      <c r="S95" s="13" t="s">
        <v>56</v>
      </c>
      <c r="T95" s="15">
        <v>105858.0</v>
      </c>
      <c r="V95" s="13" t="s">
        <v>138</v>
      </c>
      <c r="W95" s="15">
        <v>9770.0</v>
      </c>
      <c r="X95" s="15">
        <v>2319.0</v>
      </c>
    </row>
    <row r="96" ht="22.5" customHeight="1">
      <c r="A96" s="13" t="s">
        <v>61</v>
      </c>
      <c r="B96" s="13" t="s">
        <v>125</v>
      </c>
      <c r="C96" s="15">
        <v>60316.0</v>
      </c>
      <c r="D96" s="15">
        <v>0.15</v>
      </c>
      <c r="G96" s="13" t="s">
        <v>73</v>
      </c>
      <c r="H96" s="16">
        <v>0.16</v>
      </c>
      <c r="I96" s="15">
        <v>0.32</v>
      </c>
      <c r="J96" s="15">
        <v>149528.03</v>
      </c>
      <c r="L96" s="28" t="s">
        <v>156</v>
      </c>
      <c r="M96" s="30">
        <v>136082.0</v>
      </c>
      <c r="N96" s="15">
        <v>16390.0</v>
      </c>
      <c r="P96" s="15" t="s">
        <v>157</v>
      </c>
      <c r="Q96" s="15">
        <v>13480.0</v>
      </c>
      <c r="S96" s="13" t="s">
        <v>61</v>
      </c>
      <c r="T96" s="15">
        <v>86401.0</v>
      </c>
      <c r="V96" s="13" t="s">
        <v>141</v>
      </c>
      <c r="W96" s="15">
        <v>14192.0</v>
      </c>
      <c r="X96" s="15">
        <v>3847.0</v>
      </c>
    </row>
    <row r="97" ht="22.5" customHeight="1">
      <c r="A97" s="18"/>
      <c r="B97" s="13" t="s">
        <v>127</v>
      </c>
      <c r="C97" s="15">
        <v>-5.26</v>
      </c>
      <c r="D97" s="15">
        <v>-0.05</v>
      </c>
      <c r="G97" s="13" t="s">
        <v>55</v>
      </c>
      <c r="H97" s="16">
        <v>0.08</v>
      </c>
      <c r="I97" s="15">
        <v>0.42</v>
      </c>
      <c r="J97" s="15">
        <v>16476.4</v>
      </c>
      <c r="L97" s="28" t="s">
        <v>158</v>
      </c>
      <c r="M97" s="30">
        <v>143787.0</v>
      </c>
      <c r="N97" s="15">
        <v>15824.0</v>
      </c>
      <c r="P97" s="15" t="s">
        <v>159</v>
      </c>
      <c r="Q97" s="15">
        <v>16256.0</v>
      </c>
    </row>
    <row r="98" ht="22.5" customHeight="1">
      <c r="A98" s="13" t="s">
        <v>160</v>
      </c>
      <c r="B98" s="18"/>
      <c r="C98" s="15">
        <v>60310.74</v>
      </c>
      <c r="D98" s="15">
        <v>0.14</v>
      </c>
      <c r="G98" s="13" t="s">
        <v>57</v>
      </c>
      <c r="H98" s="16">
        <v>0.08</v>
      </c>
      <c r="I98" s="15">
        <v>0.3</v>
      </c>
      <c r="J98" s="15">
        <v>3024.28</v>
      </c>
      <c r="L98" s="28" t="s">
        <v>161</v>
      </c>
      <c r="M98" s="30">
        <v>236099.0</v>
      </c>
      <c r="N98" s="15">
        <v>38140.0</v>
      </c>
      <c r="P98" s="15" t="s">
        <v>162</v>
      </c>
      <c r="Q98" s="15">
        <v>17898.0</v>
      </c>
    </row>
    <row r="99" ht="22.5" customHeight="1">
      <c r="A99" s="13" t="s">
        <v>24</v>
      </c>
      <c r="B99" s="18"/>
      <c r="C99" s="15">
        <v>286409.08</v>
      </c>
      <c r="D99" s="15">
        <v>0.12</v>
      </c>
      <c r="G99" s="13" t="s">
        <v>37</v>
      </c>
      <c r="H99" s="16">
        <v>0.14</v>
      </c>
      <c r="I99" s="15">
        <v>0.14</v>
      </c>
      <c r="J99" s="15">
        <v>91705.16</v>
      </c>
      <c r="K99" s="39"/>
      <c r="L99" s="28" t="s">
        <v>163</v>
      </c>
      <c r="M99" s="30">
        <v>123145.0</v>
      </c>
      <c r="N99" s="15">
        <v>23506.0</v>
      </c>
      <c r="P99" s="23"/>
      <c r="Q99" s="23"/>
      <c r="S99" s="7" t="s">
        <v>2</v>
      </c>
      <c r="T99" s="10" t="s">
        <v>164</v>
      </c>
      <c r="U99" s="7" t="s">
        <v>3</v>
      </c>
      <c r="V99" s="10" t="s">
        <v>1</v>
      </c>
      <c r="W99" s="10" t="s">
        <v>165</v>
      </c>
    </row>
    <row r="100" ht="22.5" customHeight="1">
      <c r="G100" s="13" t="s">
        <v>62</v>
      </c>
      <c r="H100" s="16">
        <v>0.07</v>
      </c>
      <c r="I100" s="15">
        <v>0.43</v>
      </c>
      <c r="J100" s="15">
        <v>12486.31</v>
      </c>
      <c r="L100" s="28" t="s">
        <v>166</v>
      </c>
      <c r="M100" s="30">
        <v>133764.0</v>
      </c>
      <c r="N100" s="15">
        <v>15499.0</v>
      </c>
      <c r="P100" s="23"/>
      <c r="Q100" s="23"/>
      <c r="S100" s="15" t="s">
        <v>33</v>
      </c>
      <c r="T100" s="15">
        <v>5967.0</v>
      </c>
      <c r="V100" s="15" t="s">
        <v>135</v>
      </c>
      <c r="W100" s="15">
        <v>88.0</v>
      </c>
    </row>
    <row r="101" ht="22.5" customHeight="1">
      <c r="G101" s="13" t="s">
        <v>74</v>
      </c>
      <c r="H101" s="16">
        <v>0.31</v>
      </c>
      <c r="I101" s="15">
        <v>-0.07</v>
      </c>
      <c r="J101" s="15">
        <v>189238.63</v>
      </c>
      <c r="L101" s="28" t="s">
        <v>167</v>
      </c>
      <c r="M101" s="30">
        <v>196252.0</v>
      </c>
      <c r="N101" s="15">
        <v>26985.0</v>
      </c>
      <c r="P101" s="23"/>
      <c r="Q101" s="23"/>
      <c r="S101" s="15" t="s">
        <v>49</v>
      </c>
      <c r="T101" s="15">
        <v>1945.0</v>
      </c>
      <c r="V101" s="15" t="s">
        <v>138</v>
      </c>
      <c r="W101" s="15">
        <v>153.0</v>
      </c>
    </row>
    <row r="102" ht="22.5" customHeight="1">
      <c r="A102" s="8" t="s">
        <v>1</v>
      </c>
      <c r="B102" s="2" t="s">
        <v>9</v>
      </c>
      <c r="C102" s="6" t="s">
        <v>7</v>
      </c>
      <c r="D102" s="6" t="s">
        <v>98</v>
      </c>
      <c r="E102" s="6" t="s">
        <v>5</v>
      </c>
      <c r="G102" s="13" t="s">
        <v>66</v>
      </c>
      <c r="H102" s="16">
        <v>0.07</v>
      </c>
      <c r="I102" s="15">
        <v>0.43</v>
      </c>
      <c r="J102" s="15">
        <v>78479.21</v>
      </c>
      <c r="L102" s="28" t="s">
        <v>168</v>
      </c>
      <c r="M102" s="30">
        <v>280054.0</v>
      </c>
      <c r="N102" s="15">
        <v>27449.0</v>
      </c>
      <c r="P102" s="23"/>
      <c r="Q102" s="23"/>
      <c r="R102" s="39"/>
      <c r="S102" s="15" t="s">
        <v>39</v>
      </c>
      <c r="T102" s="15">
        <v>1538.0</v>
      </c>
      <c r="V102" s="15" t="s">
        <v>141</v>
      </c>
      <c r="W102" s="15">
        <v>256.0</v>
      </c>
    </row>
    <row r="103" ht="22.5" customHeight="1">
      <c r="A103" s="11" t="s">
        <v>21</v>
      </c>
      <c r="B103" s="12" t="s">
        <v>25</v>
      </c>
      <c r="C103" s="16">
        <v>0.21</v>
      </c>
      <c r="D103" s="15">
        <v>20800.59</v>
      </c>
      <c r="E103" s="15">
        <v>-3472.56</v>
      </c>
      <c r="G103" s="13" t="s">
        <v>75</v>
      </c>
      <c r="H103" s="16">
        <v>0.15</v>
      </c>
      <c r="I103" s="15">
        <v>0.12</v>
      </c>
      <c r="J103" s="15">
        <v>330007.05</v>
      </c>
      <c r="L103" s="51"/>
      <c r="M103" s="51"/>
      <c r="P103" s="14"/>
      <c r="Q103" s="14"/>
      <c r="R103" s="39"/>
      <c r="S103" s="15" t="s">
        <v>43</v>
      </c>
      <c r="T103" s="15">
        <v>543.0</v>
      </c>
    </row>
    <row r="104" ht="22.5" customHeight="1">
      <c r="A104" s="48"/>
      <c r="B104" s="12" t="s">
        <v>31</v>
      </c>
      <c r="C104" s="16">
        <v>0.17</v>
      </c>
      <c r="D104" s="15">
        <v>49730.39</v>
      </c>
      <c r="E104" s="15">
        <v>26602.23</v>
      </c>
      <c r="G104" s="13" t="s">
        <v>68</v>
      </c>
      <c r="H104" s="16">
        <v>0.07</v>
      </c>
      <c r="I104" s="15">
        <v>0.09</v>
      </c>
      <c r="J104" s="15">
        <v>223843.61</v>
      </c>
      <c r="L104" s="51"/>
      <c r="M104" s="51"/>
      <c r="P104" s="14"/>
      <c r="Q104" s="14"/>
      <c r="R104" s="39"/>
    </row>
    <row r="105" ht="22.5" customHeight="1">
      <c r="A105" s="48"/>
      <c r="B105" s="12" t="s">
        <v>37</v>
      </c>
      <c r="C105" s="16">
        <v>0.14</v>
      </c>
      <c r="D105" s="15">
        <v>8708.95</v>
      </c>
      <c r="E105" s="15">
        <v>13059.14</v>
      </c>
      <c r="G105" s="13" t="s">
        <v>70</v>
      </c>
      <c r="H105" s="16">
        <v>0.08</v>
      </c>
      <c r="I105" s="15">
        <v>0.11</v>
      </c>
      <c r="J105" s="15">
        <v>46673.54</v>
      </c>
      <c r="L105" s="50" t="s">
        <v>82</v>
      </c>
      <c r="M105" s="50" t="s">
        <v>169</v>
      </c>
      <c r="N105" s="6" t="s">
        <v>170</v>
      </c>
      <c r="P105" s="6" t="s">
        <v>20</v>
      </c>
      <c r="Q105" s="6" t="s">
        <v>171</v>
      </c>
    </row>
    <row r="106" ht="22.5" customHeight="1">
      <c r="A106" s="48"/>
      <c r="B106" s="12" t="s">
        <v>41</v>
      </c>
      <c r="C106" s="16">
        <v>0.26</v>
      </c>
      <c r="D106" s="15">
        <v>44192.2</v>
      </c>
      <c r="E106" s="15">
        <v>-17725.48</v>
      </c>
      <c r="G106" s="13" t="s">
        <v>41</v>
      </c>
      <c r="H106" s="16">
        <v>0.26</v>
      </c>
      <c r="I106" s="15">
        <v>-0.15</v>
      </c>
      <c r="J106" s="15">
        <v>206965.53</v>
      </c>
      <c r="L106" s="28" t="s">
        <v>83</v>
      </c>
      <c r="M106" s="30">
        <v>-99224.0</v>
      </c>
      <c r="N106" s="15">
        <v>155.0</v>
      </c>
      <c r="P106" s="13" t="s">
        <v>30</v>
      </c>
      <c r="Q106" s="52">
        <v>0.244</v>
      </c>
    </row>
    <row r="107" ht="22.5" customHeight="1">
      <c r="A107" s="11" t="s">
        <v>45</v>
      </c>
      <c r="B107" s="47"/>
      <c r="C107" s="16">
        <v>0.17</v>
      </c>
      <c r="D107" s="15">
        <v>123432.13</v>
      </c>
      <c r="E107" s="15">
        <v>18463.33</v>
      </c>
      <c r="G107" s="13" t="s">
        <v>24</v>
      </c>
      <c r="H107" s="16" t="s">
        <v>88</v>
      </c>
      <c r="I107" s="15" t="s">
        <v>172</v>
      </c>
      <c r="J107" s="15" t="s">
        <v>173</v>
      </c>
      <c r="L107" s="28" t="s">
        <v>84</v>
      </c>
      <c r="M107" s="30">
        <v>-56895.0</v>
      </c>
      <c r="N107" s="15">
        <v>1715.0</v>
      </c>
      <c r="P107" s="13" t="s">
        <v>36</v>
      </c>
      <c r="Q107" s="52">
        <v>0.148</v>
      </c>
    </row>
    <row r="108" ht="22.5" customHeight="1">
      <c r="A108" s="11" t="s">
        <v>22</v>
      </c>
      <c r="B108" s="12" t="s">
        <v>48</v>
      </c>
      <c r="C108" s="16">
        <v>0.17</v>
      </c>
      <c r="D108" s="15">
        <v>7490.3</v>
      </c>
      <c r="E108" s="15">
        <v>18138.01</v>
      </c>
      <c r="L108" s="28" t="s">
        <v>64</v>
      </c>
      <c r="M108" s="30">
        <v>442528.0</v>
      </c>
      <c r="N108" s="15">
        <v>8123.0</v>
      </c>
      <c r="P108" s="13" t="s">
        <v>40</v>
      </c>
      <c r="Q108" s="52">
        <v>0.14</v>
      </c>
    </row>
    <row r="109" ht="22.5" customHeight="1">
      <c r="A109" s="48"/>
      <c r="B109" s="12" t="s">
        <v>50</v>
      </c>
      <c r="C109" s="16">
        <v>0.07</v>
      </c>
      <c r="D109" s="15">
        <v>1820.83</v>
      </c>
      <c r="E109" s="15">
        <v>6527.79</v>
      </c>
      <c r="L109" s="51"/>
      <c r="M109" s="51"/>
      <c r="P109" s="13" t="s">
        <v>44</v>
      </c>
      <c r="Q109" s="52">
        <v>0.11</v>
      </c>
    </row>
    <row r="110" ht="22.5" customHeight="1">
      <c r="A110" s="48"/>
      <c r="B110" s="12" t="s">
        <v>52</v>
      </c>
      <c r="C110" s="16">
        <v>0.37</v>
      </c>
      <c r="D110" s="15">
        <v>43745.08</v>
      </c>
      <c r="E110" s="15">
        <v>30221.76</v>
      </c>
      <c r="L110" s="51"/>
      <c r="M110" s="51"/>
      <c r="P110" s="14"/>
    </row>
    <row r="111" ht="22.5" customHeight="1">
      <c r="A111" s="48"/>
      <c r="B111" s="12" t="s">
        <v>55</v>
      </c>
      <c r="C111" s="16">
        <v>0.08</v>
      </c>
      <c r="D111" s="15">
        <v>1173.99</v>
      </c>
      <c r="E111" s="15">
        <v>6964.18</v>
      </c>
      <c r="L111" s="51"/>
      <c r="M111" s="51"/>
      <c r="P111" s="14"/>
    </row>
    <row r="112" ht="22.5" customHeight="1">
      <c r="A112" s="48"/>
      <c r="B112" s="12" t="s">
        <v>57</v>
      </c>
      <c r="C112" s="16">
        <v>0.08</v>
      </c>
      <c r="D112" s="15">
        <v>240.29</v>
      </c>
      <c r="E112" s="15">
        <v>949.52</v>
      </c>
      <c r="L112" s="50" t="s">
        <v>9</v>
      </c>
      <c r="M112" s="50" t="s">
        <v>64</v>
      </c>
      <c r="O112" s="37"/>
      <c r="P112" s="37"/>
    </row>
    <row r="113" ht="22.5" customHeight="1">
      <c r="A113" s="48"/>
      <c r="B113" s="12" t="s">
        <v>62</v>
      </c>
      <c r="C113" s="16">
        <v>0.07</v>
      </c>
      <c r="D113" s="15">
        <v>649.35</v>
      </c>
      <c r="E113" s="15">
        <v>5546.25</v>
      </c>
      <c r="L113" s="28" t="s">
        <v>41</v>
      </c>
      <c r="M113" s="30">
        <v>-356.0</v>
      </c>
      <c r="O113" s="37"/>
      <c r="P113" s="37"/>
      <c r="Q113" s="14"/>
    </row>
    <row r="114" ht="22.5" customHeight="1">
      <c r="A114" s="48"/>
      <c r="B114" s="12" t="s">
        <v>66</v>
      </c>
      <c r="C114" s="16">
        <v>0.07</v>
      </c>
      <c r="D114" s="15">
        <v>5064.27</v>
      </c>
      <c r="E114" s="15">
        <v>34053.57</v>
      </c>
      <c r="L114" s="28" t="s">
        <v>25</v>
      </c>
      <c r="M114" s="30">
        <v>-373.0</v>
      </c>
      <c r="O114" s="37"/>
      <c r="P114" s="37"/>
      <c r="Q114" s="14"/>
    </row>
    <row r="115" ht="22.5" customHeight="1">
      <c r="A115" s="48"/>
      <c r="B115" s="12" t="s">
        <v>68</v>
      </c>
      <c r="C115" s="16">
        <v>0.07</v>
      </c>
      <c r="D115" s="15">
        <v>13197.97</v>
      </c>
      <c r="E115" s="15">
        <v>21278.83</v>
      </c>
      <c r="L115" s="28" t="s">
        <v>70</v>
      </c>
      <c r="M115" s="30">
        <v>93.0</v>
      </c>
      <c r="O115" s="37"/>
      <c r="P115" s="37"/>
      <c r="Q115" s="14"/>
      <c r="R115" s="39"/>
      <c r="S115" s="39"/>
    </row>
    <row r="116" ht="22.5" customHeight="1">
      <c r="A116" s="48"/>
      <c r="B116" s="12" t="s">
        <v>70</v>
      </c>
      <c r="C116" s="16">
        <v>0.08</v>
      </c>
      <c r="D116" s="15">
        <v>3022.87</v>
      </c>
      <c r="E116" s="15">
        <v>-1189.1</v>
      </c>
      <c r="F116" s="14"/>
      <c r="L116" s="28" t="s">
        <v>74</v>
      </c>
      <c r="M116" s="30">
        <v>-3665.0</v>
      </c>
      <c r="O116" s="37"/>
      <c r="P116" s="37"/>
      <c r="S116" s="39"/>
    </row>
    <row r="117" ht="22.5" customHeight="1">
      <c r="A117" s="11" t="s">
        <v>71</v>
      </c>
      <c r="B117" s="47"/>
      <c r="C117" s="16">
        <v>0.16</v>
      </c>
      <c r="D117" s="15">
        <v>76404.94</v>
      </c>
      <c r="E117" s="15">
        <v>122490.8</v>
      </c>
      <c r="F117" s="14"/>
      <c r="L117" s="28" t="s">
        <v>48</v>
      </c>
      <c r="M117" s="30">
        <v>2319.0</v>
      </c>
      <c r="O117" s="37"/>
      <c r="P117" s="37"/>
      <c r="S117" s="39"/>
    </row>
    <row r="118" ht="22.5" customHeight="1">
      <c r="A118" s="11" t="s">
        <v>23</v>
      </c>
      <c r="B118" s="12" t="s">
        <v>69</v>
      </c>
      <c r="C118" s="16">
        <v>0.08</v>
      </c>
      <c r="D118" s="15">
        <v>9802.0</v>
      </c>
      <c r="E118" s="15">
        <v>41936.64</v>
      </c>
      <c r="F118" s="14"/>
      <c r="L118" s="28" t="s">
        <v>52</v>
      </c>
      <c r="M118" s="30">
        <v>686.0</v>
      </c>
      <c r="O118" s="37"/>
      <c r="P118" s="37"/>
      <c r="S118" s="39"/>
    </row>
    <row r="119" ht="22.5" customHeight="1">
      <c r="A119" s="48"/>
      <c r="B119" s="12" t="s">
        <v>73</v>
      </c>
      <c r="C119" s="16">
        <v>0.16</v>
      </c>
      <c r="D119" s="15">
        <v>17999.73</v>
      </c>
      <c r="E119" s="15">
        <v>55617.82</v>
      </c>
      <c r="F119" s="14"/>
      <c r="L119" s="28" t="s">
        <v>57</v>
      </c>
      <c r="M119" s="30">
        <v>63.0</v>
      </c>
      <c r="O119" s="37"/>
      <c r="P119" s="37"/>
      <c r="S119" s="39"/>
    </row>
    <row r="120" ht="22.5" customHeight="1">
      <c r="A120" s="48"/>
      <c r="B120" s="12" t="s">
        <v>74</v>
      </c>
      <c r="C120" s="16">
        <v>0.31</v>
      </c>
      <c r="D120" s="15">
        <v>46765.98</v>
      </c>
      <c r="E120" s="15">
        <v>3384.76</v>
      </c>
      <c r="F120" s="14"/>
      <c r="L120" s="28" t="s">
        <v>62</v>
      </c>
      <c r="M120" s="30">
        <v>461.0</v>
      </c>
      <c r="O120" s="37"/>
      <c r="P120" s="37"/>
      <c r="S120" s="39"/>
    </row>
    <row r="121" ht="22.5" customHeight="1">
      <c r="A121" s="48"/>
      <c r="B121" s="12" t="s">
        <v>75</v>
      </c>
      <c r="C121" s="16">
        <v>0.15</v>
      </c>
      <c r="D121" s="15">
        <v>48092.94</v>
      </c>
      <c r="E121" s="15">
        <v>44515.73</v>
      </c>
      <c r="F121" s="14"/>
      <c r="L121" s="28" t="s">
        <v>50</v>
      </c>
      <c r="M121" s="30">
        <v>437.0</v>
      </c>
      <c r="O121" s="37"/>
      <c r="P121" s="37"/>
      <c r="S121" s="39"/>
    </row>
    <row r="122" ht="22.5" customHeight="1">
      <c r="A122" s="11" t="s">
        <v>76</v>
      </c>
      <c r="B122" s="47"/>
      <c r="C122" s="16">
        <v>0.13</v>
      </c>
      <c r="D122" s="15">
        <v>122660.65</v>
      </c>
      <c r="E122" s="15">
        <v>145454.95</v>
      </c>
      <c r="F122" s="14"/>
      <c r="G122" s="14"/>
      <c r="L122" s="28" t="s">
        <v>55</v>
      </c>
      <c r="M122" s="30">
        <v>472.0</v>
      </c>
      <c r="O122" s="37"/>
      <c r="P122" s="37"/>
      <c r="S122" s="39"/>
      <c r="AG122" s="53"/>
    </row>
    <row r="123" ht="22.5" customHeight="1">
      <c r="A123" s="11" t="s">
        <v>24</v>
      </c>
      <c r="B123" s="47"/>
      <c r="C123" s="16">
        <v>0.16</v>
      </c>
      <c r="D123" s="15">
        <v>322497.72</v>
      </c>
      <c r="E123" s="15">
        <v>286409.08</v>
      </c>
      <c r="F123" s="14"/>
      <c r="G123" s="14"/>
      <c r="L123" s="28" t="s">
        <v>31</v>
      </c>
      <c r="M123" s="30">
        <v>1580.0</v>
      </c>
      <c r="S123" s="39"/>
      <c r="AG123" s="53"/>
    </row>
    <row r="124" ht="22.5" customHeight="1">
      <c r="F124" s="14"/>
      <c r="G124" s="14"/>
      <c r="L124" s="28" t="s">
        <v>68</v>
      </c>
      <c r="M124" s="30">
        <v>1096.0</v>
      </c>
      <c r="S124" s="39"/>
      <c r="AG124" s="53"/>
    </row>
    <row r="125" ht="22.5" customHeight="1">
      <c r="A125" s="42"/>
      <c r="B125" s="43"/>
      <c r="D125" s="14"/>
      <c r="F125" s="14"/>
      <c r="L125" s="28" t="s">
        <v>37</v>
      </c>
      <c r="M125" s="30">
        <v>1228.0</v>
      </c>
      <c r="S125" s="39"/>
      <c r="AG125" s="53"/>
    </row>
    <row r="126" ht="22.5" customHeight="1">
      <c r="A126" s="1" t="s">
        <v>123</v>
      </c>
      <c r="B126" s="2" t="s">
        <v>51</v>
      </c>
      <c r="C126" s="6" t="s">
        <v>0</v>
      </c>
      <c r="D126" s="6" t="s">
        <v>5</v>
      </c>
      <c r="E126" s="6" t="s">
        <v>6</v>
      </c>
      <c r="F126" s="14"/>
      <c r="L126" s="28" t="s">
        <v>66</v>
      </c>
      <c r="M126" s="30">
        <v>2109.0</v>
      </c>
      <c r="S126" s="39"/>
      <c r="AG126" s="53"/>
    </row>
    <row r="127" ht="22.5" customHeight="1">
      <c r="A127" s="11" t="s">
        <v>125</v>
      </c>
      <c r="B127" s="12" t="s">
        <v>54</v>
      </c>
      <c r="C127" s="15">
        <v>1161178.1</v>
      </c>
      <c r="D127" s="15">
        <v>134199.98</v>
      </c>
      <c r="E127" s="15">
        <v>0.12</v>
      </c>
      <c r="F127" s="14"/>
      <c r="L127" s="28" t="s">
        <v>75</v>
      </c>
      <c r="M127" s="30">
        <v>3992.0</v>
      </c>
      <c r="Q127" s="14"/>
      <c r="R127" s="39"/>
      <c r="S127" s="39"/>
      <c r="AG127" s="53"/>
    </row>
    <row r="128" ht="22.5" customHeight="1">
      <c r="A128" s="48"/>
      <c r="B128" s="12" t="s">
        <v>56</v>
      </c>
      <c r="C128" s="15">
        <v>706062.7</v>
      </c>
      <c r="D128" s="15">
        <v>91996.45</v>
      </c>
      <c r="E128" s="15">
        <v>0.13</v>
      </c>
      <c r="F128" s="14"/>
      <c r="L128" s="28" t="s">
        <v>69</v>
      </c>
      <c r="M128" s="30">
        <v>3847.0</v>
      </c>
      <c r="P128" s="14"/>
      <c r="Q128" s="14"/>
      <c r="R128" s="39"/>
      <c r="S128" s="39"/>
      <c r="AG128" s="53"/>
    </row>
    <row r="129" ht="22.5" customHeight="1">
      <c r="A129" s="48"/>
      <c r="B129" s="12" t="s">
        <v>61</v>
      </c>
      <c r="C129" s="15">
        <v>429273.36</v>
      </c>
      <c r="D129" s="15">
        <v>60316.0</v>
      </c>
      <c r="E129" s="15">
        <v>0.15</v>
      </c>
      <c r="F129" s="14"/>
      <c r="L129" s="28" t="s">
        <v>73</v>
      </c>
      <c r="M129" s="30">
        <v>7387.0</v>
      </c>
      <c r="P129" s="14"/>
      <c r="Q129" s="14"/>
      <c r="R129" s="39"/>
      <c r="S129" s="39"/>
      <c r="AG129" s="53"/>
    </row>
    <row r="130" ht="22.5" customHeight="1">
      <c r="A130" s="11" t="s">
        <v>174</v>
      </c>
      <c r="B130" s="47"/>
      <c r="C130" s="15">
        <v>2296514.17</v>
      </c>
      <c r="D130" s="15">
        <v>286512.43</v>
      </c>
      <c r="E130" s="15">
        <v>0.13</v>
      </c>
      <c r="F130" s="14"/>
      <c r="AG130" s="53"/>
    </row>
    <row r="131" ht="22.5" customHeight="1">
      <c r="A131" s="11" t="s">
        <v>127</v>
      </c>
      <c r="B131" s="12" t="s">
        <v>54</v>
      </c>
      <c r="C131" s="15">
        <v>223.25</v>
      </c>
      <c r="D131" s="15">
        <v>-80.77</v>
      </c>
      <c r="E131" s="15">
        <v>-0.5</v>
      </c>
      <c r="F131" s="14"/>
      <c r="AG131" s="53"/>
    </row>
    <row r="132" ht="22.5" customHeight="1">
      <c r="A132" s="48"/>
      <c r="B132" s="12" t="s">
        <v>56</v>
      </c>
      <c r="C132" s="15">
        <v>83.66</v>
      </c>
      <c r="D132" s="15">
        <v>-17.32</v>
      </c>
      <c r="E132" s="15">
        <v>-0.46</v>
      </c>
      <c r="F132" s="14"/>
      <c r="G132" s="14"/>
      <c r="AG132" s="53"/>
    </row>
    <row r="133" ht="22.5" customHeight="1">
      <c r="A133" s="48"/>
      <c r="B133" s="12" t="s">
        <v>61</v>
      </c>
      <c r="C133" s="15">
        <v>98.41</v>
      </c>
      <c r="D133" s="15">
        <v>-5.26</v>
      </c>
      <c r="E133" s="15">
        <v>-0.05</v>
      </c>
      <c r="F133" s="14"/>
      <c r="G133" s="14"/>
      <c r="AG133" s="53"/>
    </row>
    <row r="134" ht="22.5" customHeight="1">
      <c r="A134" s="11" t="s">
        <v>175</v>
      </c>
      <c r="B134" s="47"/>
      <c r="C134" s="15">
        <v>405.32</v>
      </c>
      <c r="D134" s="15">
        <v>-103.35</v>
      </c>
      <c r="E134" s="15">
        <v>-0.39</v>
      </c>
      <c r="F134" s="14"/>
      <c r="AG134" s="53"/>
    </row>
    <row r="135" ht="22.5" customHeight="1">
      <c r="A135" s="11" t="s">
        <v>24</v>
      </c>
      <c r="B135" s="47"/>
      <c r="C135" s="15">
        <v>2296919.49</v>
      </c>
      <c r="D135" s="15">
        <v>286409.08</v>
      </c>
      <c r="E135" s="15">
        <v>0.12</v>
      </c>
      <c r="F135" s="14"/>
      <c r="AG135" s="53"/>
    </row>
    <row r="136">
      <c r="F136" s="14"/>
      <c r="AG136" s="53"/>
    </row>
    <row r="137">
      <c r="F137" s="14"/>
      <c r="AG137" s="53"/>
    </row>
    <row r="138">
      <c r="AG138" s="53"/>
    </row>
    <row r="139">
      <c r="AG139" s="53"/>
    </row>
    <row r="140">
      <c r="AG140" s="53"/>
    </row>
    <row r="141">
      <c r="AG141" s="53"/>
    </row>
    <row r="142">
      <c r="AG142" s="53"/>
    </row>
    <row r="143">
      <c r="AG143" s="53"/>
    </row>
    <row r="144">
      <c r="AG144" s="53"/>
    </row>
    <row r="145">
      <c r="AG145" s="53"/>
    </row>
    <row r="146">
      <c r="AG146" s="53"/>
    </row>
    <row r="147">
      <c r="AG147" s="53"/>
    </row>
    <row r="148">
      <c r="AG148" s="53"/>
    </row>
    <row r="149">
      <c r="AG149" s="53"/>
    </row>
  </sheetData>
  <customSheetViews>
    <customSheetView guid="{E0E9916E-9D27-4773-A6C7-5CA4E2D7052C}" filter="1" showAutoFilter="1">
      <autoFilter ref="$A$1:$AL$149"/>
    </customSheetView>
    <customSheetView guid="{E0E9916E-9D27-4773-A6C7-5CA4E2D7052C}" filter="1" showAutoFilter="1">
      <autoFilter ref="$A$1:$AL$149"/>
    </customSheetView>
    <customSheetView guid="{E0E9916E-9D27-4773-A6C7-5CA4E2D7052C}" filter="1" showAutoFilter="1">
      <autoFilter ref="$A$1:$AL$149"/>
    </customSheetView>
    <customSheetView guid="{E0E9916E-9D27-4773-A6C7-5CA4E2D7052C}" filter="1" showAutoFilter="1">
      <autoFilter ref="$A$1:$AL$149"/>
    </customSheetView>
  </customSheetViews>
  <dataValidations>
    <dataValidation type="custom" allowBlank="1" showDropDown="1" sqref="P87:Q102">
      <formula1>OR(NOT(ISERROR(DATEVALUE(P87))), AND(ISNUMBER(P87), LEFT(CELL("format", P87))="D"))</formula1>
    </dataValidation>
    <dataValidation type="custom" allowBlank="1" showDropDown="1" sqref="K2:K5 A2:A6 Y2:Y8 AG2:AG8 I9:L12 AA12:AA30 AC12:AE30 AG12:AG30 O26:O31 AM35:AN40 A35:D40 P35:Q41 T35:T41 V35:V41 A44:A50 Y45:Y51 AA45:AB51 AE45:AH51 A54:C60 E54:F60 I54:I60 T45:V63 AA64:AB69 AE73:AH77 A64:A86 L87:M102 H90:H106 L106:M108 Q106:Q109 A103:A123 C103:C123 L113:M129 A127:A135">
      <formula1>AND(ISNUMBER(A2),(NOT(OR(NOT(ISERROR(DATEVALUE(A2))), AND(ISNUMBER(A2), LEFT(CELL("format", A2))="D")))))</formula1>
    </dataValidation>
  </dataValidations>
  <drawing r:id="rId1"/>
  <tableParts count="34"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</tableParts>
</worksheet>
</file>